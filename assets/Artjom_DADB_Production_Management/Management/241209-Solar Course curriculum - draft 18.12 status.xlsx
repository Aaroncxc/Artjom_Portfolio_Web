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i\Desktop\"/>
    </mc:Choice>
  </mc:AlternateContent>
  <xr:revisionPtr revIDLastSave="0" documentId="13_ncr:1_{4C4C0E13-8CFC-4F89-8D3F-73DDD7A71456}" xr6:coauthVersionLast="47" xr6:coauthVersionMax="47" xr10:uidLastSave="{00000000-0000-0000-0000-000000000000}"/>
  <bookViews>
    <workbookView xWindow="-38510" yWindow="-12260" windowWidth="38620" windowHeight="21100" xr2:uid="{428FD899-5BE8-A744-AA05-204F41235271}"/>
  </bookViews>
  <sheets>
    <sheet name="Sheet1" sheetId="1" r:id="rId1"/>
    <sheet name="Lex Solar Exercise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2" i="1" l="1"/>
  <c r="G156" i="1"/>
  <c r="G146" i="1"/>
  <c r="G136" i="1"/>
  <c r="G124" i="1"/>
  <c r="G114" i="1"/>
  <c r="G104" i="1"/>
  <c r="G94" i="1"/>
  <c r="G84" i="1"/>
  <c r="G74" i="1"/>
  <c r="G64" i="1"/>
  <c r="G53" i="1"/>
  <c r="G43" i="1"/>
  <c r="G31" i="1"/>
  <c r="G21" i="1"/>
  <c r="G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tc={D6996001-6B7F-4565-B093-DAB0658C84F6}</author>
    <author>tc={AA83EF38-5B14-4A63-AB95-6FD67BC2446C}</author>
    <author>tc={6487CE76-0EF9-448D-911D-0EE233276353}</author>
    <author>tc={741947E5-7185-4272-8CD9-8A37613A69DB}</author>
    <author>tc={2198365E-1946-4B32-B9DA-71FA2F317839}</author>
    <author>tc={FCEBCDD5-A0DC-47C8-9D35-1221E6071F89}</author>
    <author>tc={9ACA10D0-FF5E-4025-86DE-1A4AEFC5B30B}</author>
    <author>tc={DFA18F25-87C8-463E-B483-79D061D0EA06}</author>
    <author>tc={190BB1D1-328A-4E92-94BF-19699E557BB3}</author>
    <author>tc={C7061E58-195A-41D6-9C5E-1F1DABB2C5E1}</author>
    <author>tc={3B7FD75D-37F6-471D-B77B-496067E7AA13}</author>
    <author>tc={31D7E352-764E-4357-96C1-B22B5F2FC045}</author>
    <author>tc={6B768E4C-8C0C-4435-AE00-194AEFCC17F7}</author>
    <author>tc={02EC8A39-0F3A-4048-8586-3F513556C457}</author>
    <author>tc={FE02B0E6-0F3B-47CE-B620-9B5E68F7467A}</author>
    <author>tc={47C517FB-A022-40AD-A819-8B1F23C12D16}</author>
    <author>tc={BAFC1EDD-619C-4097-AF06-EEC26C1406A3}</author>
    <author>tc={9CF7B34C-E530-4123-A79C-3745245E0B2B}</author>
  </authors>
  <commentList>
    <comment ref="I9" authorId="0" shapeId="0" xr:uid="{D6996001-6B7F-4565-B093-DAB0658C84F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Interview with a Solar Association (BSW, NSEFI, etc.)</t>
      </text>
    </comment>
    <comment ref="G11" authorId="1" shapeId="0" xr:uid="{AA83EF38-5B14-4A63-AB95-6FD67BC2446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I‘ve added the total length of each period for a better overview.</t>
      </text>
    </comment>
    <comment ref="I15" authorId="2" shapeId="0" xr:uid="{6487CE76-0EF9-448D-911D-0EE23327635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Probably, we develop a video about the importance of solar incl. some contribution of our IP (sunotec, SMA, …) - TH</t>
      </text>
    </comment>
    <comment ref="J15" authorId="3" shapeId="0" xr:uid="{741947E5-7185-4272-8CD9-8A37613A69D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think a guided exercise doesn‘t make sense in this period.</t>
      </text>
    </comment>
    <comment ref="E29" authorId="4" shapeId="0" xr:uid="{2198365E-1946-4B32-B9DA-71FA2F31783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As all these exercises are important, During development of the exercise we will try to make them fit into the 20 Min slot. They are also short exercises, I don’t think it would be a problem. 
Antwort:
    I also suggest that we have them just before the summary video as they cover all the content in this period.</t>
      </text>
    </comment>
    <comment ref="I35" authorId="5" shapeId="0" xr:uid="{FCEBCDD5-A0DC-47C8-9D35-1221E6071F8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We definitely need an Lexsolar exercise in this period that learners can work with what they've learnt the previos period. Take care of the total length of the period.</t>
      </text>
    </comment>
    <comment ref="I46" authorId="6" shapeId="0" xr:uid="{9ACA10D0-FF5E-4025-86DE-1A4AEFC5B30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Order needs to be changed, right? First lecture than quiz. - TH
Antwort:
    Yes.. I believe this was a mistake</t>
      </text>
    </comment>
    <comment ref="I51" authorId="7" shapeId="0" xr:uid="{DFA18F25-87C8-463E-B483-79D061D0EA0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Is there a proper Lexsolar exercise or di we have to develop a guided Exercise for repetiion? - TH
Antwort:
    The proposed are exercises from lex solar. I have properly labeled them</t>
      </text>
    </comment>
    <comment ref="E59" authorId="8" shapeId="0" xr:uid="{190BB1D1-328A-4E92-94BF-19699E557BB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would recommend more exercises and repetitions in this stage of the course.</t>
      </text>
    </comment>
    <comment ref="E69" authorId="9" shapeId="0" xr:uid="{C7061E58-195A-41D6-9C5E-1F1DABB2C5E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Module manufacturing will be separatly in the solar module course. But we can produce a 15 minutes summary. Than we should use the exercise at another place in this course.
Antwort:
    I agree. IP content is best for this section</t>
      </text>
    </comment>
    <comment ref="E78" authorId="10" shapeId="0" xr:uid="{3B7FD75D-37F6-471D-B77B-496067E7AA1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Reiling(recycling) could be a very good solution.</t>
      </text>
    </comment>
    <comment ref="E87" authorId="11" shapeId="0" xr:uid="{31D7E352-764E-4357-96C1-B22B5F2FC04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Do we have an Lexsolar exercise ?
Antwort:
    I have proposed a relevant exercise and kept the option of IP on battery storage</t>
      </text>
    </comment>
    <comment ref="E98" authorId="12" shapeId="0" xr:uid="{6B768E4C-8C0C-4435-AE00-194AEFCC17F7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too general for me. Do we have an exercise? What could be the topic for an IP?
Antwort:
    These are Lex solar exercises. Should be enough, I don’t think we need IP content here. </t>
      </text>
    </comment>
    <comment ref="E108" authorId="13" shapeId="0" xr:uid="{02EC8A39-0F3A-4048-8586-3F513556C45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Definitely the right IP.</t>
      </text>
    </comment>
    <comment ref="E121" authorId="14" shapeId="0" xr:uid="{FE02B0E6-0F3B-47CE-B620-9B5E68F7467A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suppose a guided exercise and Lexsolar applications are the right tool to teach this topic. Please more details.
Antwort:
    We have relevant lex solar exercises. </t>
      </text>
    </comment>
    <comment ref="E128" authorId="15" shapeId="0" xr:uid="{47C517FB-A022-40AD-A819-8B1F23C12D1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part can be a bit shorter since the total length is 52 minutes. Which exercise we can use?</t>
      </text>
    </comment>
    <comment ref="E141" authorId="16" shapeId="0" xr:uid="{BAFC1EDD-619C-4097-AF06-EEC26C1406A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period is tailor made for Sunotec IP.</t>
      </text>
    </comment>
    <comment ref="E149" authorId="17" shapeId="0" xr:uid="{9CF7B34C-E530-4123-A79C-3745245E0B2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agree.</t>
      </text>
    </comment>
  </commentList>
</comments>
</file>

<file path=xl/sharedStrings.xml><?xml version="1.0" encoding="utf-8"?>
<sst xmlns="http://schemas.openxmlformats.org/spreadsheetml/2006/main" count="543" uniqueCount="236">
  <si>
    <t xml:space="preserve">Module Name </t>
  </si>
  <si>
    <t>Period No.</t>
  </si>
  <si>
    <t xml:space="preserve">Period Name </t>
  </si>
  <si>
    <t>Section Type</t>
  </si>
  <si>
    <t xml:space="preserve">Section Title </t>
  </si>
  <si>
    <t>Industry Partner / Exercises</t>
  </si>
  <si>
    <t xml:space="preserve">Estimated Time of completion </t>
  </si>
  <si>
    <t xml:space="preserve">Comments </t>
  </si>
  <si>
    <t xml:space="preserve">Solar Basics </t>
  </si>
  <si>
    <t xml:space="preserve">Introduction to course and Solar Energy </t>
  </si>
  <si>
    <t xml:space="preserve">Introduction video </t>
  </si>
  <si>
    <t>Introduction of Lex solar boxes and exercises - Lex Solar</t>
  </si>
  <si>
    <t xml:space="preserve">This is the first and only time the students get the intro to the class - how is it structured, what are the sections and what they are expected to do. </t>
  </si>
  <si>
    <t>Lecture video</t>
  </si>
  <si>
    <t xml:space="preserve">From manpower to solarpower - a short history of energy </t>
  </si>
  <si>
    <t>Use MaxxSolar section M1.01 (1-7)</t>
  </si>
  <si>
    <t xml:space="preserve">Quiz </t>
  </si>
  <si>
    <t xml:space="preserve">Carbon emissions and the need for sustainable energy sources </t>
  </si>
  <si>
    <t>Use MaxxSolar section M1.01 (8-22)</t>
  </si>
  <si>
    <t xml:space="preserve">Solar PV - the sustainable alternative </t>
  </si>
  <si>
    <t>Use MaxxSolar section M1.01 (23-33)</t>
  </si>
  <si>
    <t>Summary Video</t>
  </si>
  <si>
    <t xml:space="preserve">Summary Video </t>
  </si>
  <si>
    <t xml:space="preserve">Solar PV - challenge and opportunity </t>
  </si>
  <si>
    <t xml:space="preserve">Introduction to this section </t>
  </si>
  <si>
    <t xml:space="preserve">Solar energy as viable alternative </t>
  </si>
  <si>
    <t>Use MaxxSolar M2-02</t>
  </si>
  <si>
    <t>Solar Energy Market - future outlook</t>
  </si>
  <si>
    <t>Use MaxxSolar M2 -03 (1-20)</t>
  </si>
  <si>
    <t xml:space="preserve">Solar PV - practical applications </t>
  </si>
  <si>
    <t>Use MaxxSolar M2-03 (21-30)</t>
  </si>
  <si>
    <t>Key Electrical Concepts - 1</t>
  </si>
  <si>
    <t>Introduction to the section</t>
  </si>
  <si>
    <t>Setup of a simple circuit</t>
  </si>
  <si>
    <t xml:space="preserve">Use MaxxSolar M3-01 </t>
  </si>
  <si>
    <t>Introduction to use of multimeters</t>
  </si>
  <si>
    <t>Measurement of current</t>
  </si>
  <si>
    <t>Use MaxxSolar M3-03</t>
  </si>
  <si>
    <t>Ohm„s law</t>
  </si>
  <si>
    <t>Use MaxxSolar M3 - 04</t>
  </si>
  <si>
    <t>Series connection of ohmic resistances</t>
  </si>
  <si>
    <t>Parallel connection of ohmic resistances</t>
  </si>
  <si>
    <t>Use MaxxSolar M3 - 05</t>
  </si>
  <si>
    <t>Lecture Video</t>
  </si>
  <si>
    <t>Frequency</t>
  </si>
  <si>
    <t>Additional content - John to provide</t>
  </si>
  <si>
    <t xml:space="preserve">Power and Energy </t>
  </si>
  <si>
    <t>Use MaxxSolar M3 - 06</t>
  </si>
  <si>
    <t xml:space="preserve">Kirchoff's law </t>
  </si>
  <si>
    <t>Quiz</t>
  </si>
  <si>
    <t xml:space="preserve">Electrical protections </t>
  </si>
  <si>
    <t xml:space="preserve">Integrating the Key concepts - application to solar system </t>
  </si>
  <si>
    <t>Use MaxxSolar M3 - 08</t>
  </si>
  <si>
    <t>IP Showing an inverter on site with an explaination?</t>
  </si>
  <si>
    <t xml:space="preserve">Series and Parallel Connections </t>
  </si>
  <si>
    <t>Series and parallel connection of solar cells (quantitative)</t>
  </si>
  <si>
    <t>Electricity transmission and distribution</t>
  </si>
  <si>
    <t>Technology of PV</t>
  </si>
  <si>
    <t>Use MaxxSolar M4 - 01</t>
  </si>
  <si>
    <t>IP about module maufacturing</t>
  </si>
  <si>
    <t>Use MaxxSolar M4 - 02</t>
  </si>
  <si>
    <t>Starting and running current of a motor</t>
  </si>
  <si>
    <t>Use MaxxSolar M4 - 03</t>
  </si>
  <si>
    <t>Quiz 5.3</t>
  </si>
  <si>
    <t>Use MaxxSolar M4 - 04, M4 - 06</t>
  </si>
  <si>
    <t>Use MaxxSolar M4 - 05</t>
  </si>
  <si>
    <t xml:space="preserve">Energy Storage </t>
  </si>
  <si>
    <t>IP battery storage</t>
  </si>
  <si>
    <t xml:space="preserve">Use MaxxSolar M5 - 02 </t>
  </si>
  <si>
    <t>Quiz 6.1</t>
  </si>
  <si>
    <t>Energy Balance - why is needed?</t>
  </si>
  <si>
    <t>Use MaxxSolar M5 - 03</t>
  </si>
  <si>
    <t>Quiz 6.2</t>
  </si>
  <si>
    <t xml:space="preserve">Solar System Components and Functions </t>
  </si>
  <si>
    <t>Dependence of solar cell power on its area</t>
  </si>
  <si>
    <t>Dependence of solar cell power on angle of incidence of light</t>
  </si>
  <si>
    <t>Use MaxxSolar M6 - 02 and M6 - 03</t>
  </si>
  <si>
    <t>Series and parallel connection of solar cells (phenomenological)</t>
  </si>
  <si>
    <t xml:space="preserve">Solar system Batteries </t>
  </si>
  <si>
    <t>Use MaxxSolar M6 - 04</t>
  </si>
  <si>
    <t>Quiz 7.2</t>
  </si>
  <si>
    <t xml:space="preserve">IP ?  Charge controller connection to power dc load </t>
  </si>
  <si>
    <t>Use MaxxSolar M6 - 05 and M6 - 06</t>
  </si>
  <si>
    <t>Quiz 7.3</t>
  </si>
  <si>
    <t xml:space="preserve">Solar System Configurations </t>
  </si>
  <si>
    <t>Components of a solar off-grid system</t>
  </si>
  <si>
    <t xml:space="preserve">Use MaxxSolar M7 - 01 and M7 - 02 </t>
  </si>
  <si>
    <t>Possible operating conditions of an off-grid system</t>
  </si>
  <si>
    <t>IP SustainGroup South Africa</t>
  </si>
  <si>
    <t>Use MaxxSolar M7 -03 and M7 - 04</t>
  </si>
  <si>
    <t>Use MaxxSolar M7 -05</t>
  </si>
  <si>
    <t xml:space="preserve">Solar Resources </t>
  </si>
  <si>
    <t xml:space="preserve">Sun energy </t>
  </si>
  <si>
    <t xml:space="preserve">Use MaxxSolar M8 - 01 </t>
  </si>
  <si>
    <t>Solar yield and yield maps</t>
  </si>
  <si>
    <t xml:space="preserve">Use MaxxSolar M8 -02 </t>
  </si>
  <si>
    <t>Quiz 9.2</t>
  </si>
  <si>
    <t xml:space="preserve">Peak sun hours and seasonal effects </t>
  </si>
  <si>
    <t>Use MaxxSolar M8 - 03 and M8 - 04</t>
  </si>
  <si>
    <t>Quiz 9.3</t>
  </si>
  <si>
    <t xml:space="preserve">Solar System Performance and Yield </t>
  </si>
  <si>
    <t>Partial shading of series-connected solar cells</t>
  </si>
  <si>
    <t>I-V-characteristics of different solar modules</t>
  </si>
  <si>
    <t>Use MaxxSolar M9 - 01, M9 - 02</t>
  </si>
  <si>
    <t>I-V-characteristics of partial shaded solar modules</t>
  </si>
  <si>
    <t>IP Mounting Structure (e.g. differences between fixed tilt and tracker)</t>
  </si>
  <si>
    <t>Use MaxxSolar M9 - 03</t>
  </si>
  <si>
    <t>Quiz 10.2</t>
  </si>
  <si>
    <t>Use MaxxSolar M9 - 04</t>
  </si>
  <si>
    <t>Quiz 10.3</t>
  </si>
  <si>
    <t>Dependence of solar cell power on temperature</t>
  </si>
  <si>
    <t>Use MaxxSolar M9 - 06</t>
  </si>
  <si>
    <t xml:space="preserve">System Operations </t>
  </si>
  <si>
    <t>IP about importance of O&amp;M</t>
  </si>
  <si>
    <t>Use MaxxSolar M10 - 01</t>
  </si>
  <si>
    <t xml:space="preserve">Markets and Pricing </t>
  </si>
  <si>
    <t xml:space="preserve">IP Interview with an EPC (Sunotec) about pricing </t>
  </si>
  <si>
    <t xml:space="preserve">Use MaxxSolar M11 - 01, M11 - 02 </t>
  </si>
  <si>
    <t xml:space="preserve">Value Proposition of Solar power </t>
  </si>
  <si>
    <t>Use MaxxSolar M11 - 03</t>
  </si>
  <si>
    <t xml:space="preserve">Simple payback calculation </t>
  </si>
  <si>
    <t>Use MaxxSolar M11 - 04</t>
  </si>
  <si>
    <t xml:space="preserve">Solar is the Future </t>
  </si>
  <si>
    <t xml:space="preserve">Introduction to this final section and description of the evaluation format and assessment criteria </t>
  </si>
  <si>
    <t>Market segments and practical use of the skills learnt in the course</t>
  </si>
  <si>
    <t xml:space="preserve"> </t>
  </si>
  <si>
    <t>Use MaxxSolar M12 - 01, M12 - 02</t>
  </si>
  <si>
    <t xml:space="preserve">Instruction for the assessment / Assessment </t>
  </si>
  <si>
    <t xml:space="preserve">Concluding video </t>
  </si>
  <si>
    <t xml:space="preserve">Exercise </t>
  </si>
  <si>
    <t>Measurement of Voltage</t>
  </si>
  <si>
    <t>Ohm's law</t>
  </si>
  <si>
    <t>Estimated Runtime - min</t>
  </si>
  <si>
    <t xml:space="preserve">Use MaxxSolar M3 - 09 or IP content </t>
  </si>
  <si>
    <t xml:space="preserve">This section looks pretty big - we need to find a solution how to balance it </t>
  </si>
  <si>
    <t xml:space="preserve">Overall review of all concepts discussed </t>
  </si>
  <si>
    <t xml:space="preserve">Similar content to - Solar system yield, performance and optimisation - please check </t>
  </si>
  <si>
    <t xml:space="preserve">Introduction to the LexSolar briefcase and the concept of exercises </t>
  </si>
  <si>
    <t xml:space="preserve">This section outlines the main concepts </t>
  </si>
  <si>
    <t>Electricity</t>
  </si>
  <si>
    <t xml:space="preserve">Potential Difference </t>
  </si>
  <si>
    <t>Current</t>
  </si>
  <si>
    <t>Power</t>
  </si>
  <si>
    <t xml:space="preserve">Energy </t>
  </si>
  <si>
    <t xml:space="preserve">AC and DC Power </t>
  </si>
  <si>
    <t xml:space="preserve">Photovoltaic Effect </t>
  </si>
  <si>
    <t xml:space="preserve">Components of Solar Module </t>
  </si>
  <si>
    <t xml:space="preserve">Solar module - Lifetime and Recycling aspects </t>
  </si>
  <si>
    <t xml:space="preserve">Solar panels - production process </t>
  </si>
  <si>
    <t xml:space="preserve">How to store energy generate by PV modules </t>
  </si>
  <si>
    <t>Introduction to this section</t>
  </si>
  <si>
    <t xml:space="preserve">PV Module Characteristics </t>
  </si>
  <si>
    <t xml:space="preserve">Inverters and Charge controllers </t>
  </si>
  <si>
    <t xml:space="preserve">PV on-grid configurations and storage </t>
  </si>
  <si>
    <t xml:space="preserve">PV off-grid configurations and other configurations </t>
  </si>
  <si>
    <t xml:space="preserve">Solar system yield, performance and optimisation </t>
  </si>
  <si>
    <t xml:space="preserve">Quiz 10.1 </t>
  </si>
  <si>
    <t>Solar Panel orientation and inclination</t>
  </si>
  <si>
    <t>Irradiance and Heat - what is what?</t>
  </si>
  <si>
    <t xml:space="preserve">Lecture on Lifespan and Maintainance </t>
  </si>
  <si>
    <t xml:space="preserve">Current pricing and levelized cost of energy </t>
  </si>
  <si>
    <t xml:space="preserve">markets and Pricing </t>
  </si>
  <si>
    <t>Quiz 12.2</t>
  </si>
  <si>
    <t xml:space="preserve">repetition of formulas - guided exercises </t>
  </si>
  <si>
    <t xml:space="preserve">Placeholder - diverse tasks </t>
  </si>
  <si>
    <t>Introduction to the course + overall structure</t>
  </si>
  <si>
    <t>Introduction</t>
  </si>
  <si>
    <t xml:space="preserve">Key  Electrical Concepts - 2 - PART A </t>
  </si>
  <si>
    <t>Key  Electrical Concepts - 2 - PART B</t>
  </si>
  <si>
    <t xml:space="preserve">TBD </t>
  </si>
  <si>
    <t>key  Electrical Concepts - 2 - PART C</t>
  </si>
  <si>
    <t>Quiz 1.1</t>
  </si>
  <si>
    <t>Quiz 1.2</t>
  </si>
  <si>
    <t>Quiz 1.3</t>
  </si>
  <si>
    <t>Quiz 2.1</t>
  </si>
  <si>
    <t>Quiz 2.2</t>
  </si>
  <si>
    <t>Quiz 2.3</t>
  </si>
  <si>
    <t>Quiz 3.3</t>
  </si>
  <si>
    <t>Quiz 3.2</t>
  </si>
  <si>
    <t>Quiz 3.1</t>
  </si>
  <si>
    <t xml:space="preserve">Quiz 4.1 </t>
  </si>
  <si>
    <t>Quiz 4.2</t>
  </si>
  <si>
    <t>Quiz 4.3</t>
  </si>
  <si>
    <t>Quiz 4.4</t>
  </si>
  <si>
    <t xml:space="preserve">Quiz 5.1 </t>
  </si>
  <si>
    <t xml:space="preserve">Quiz 5.2 </t>
  </si>
  <si>
    <t>Quiz 6.3</t>
  </si>
  <si>
    <t>Quiz 7.1</t>
  </si>
  <si>
    <t xml:space="preserve">Solar PV technology - PART A </t>
  </si>
  <si>
    <t>Solar PV technology - PART B</t>
  </si>
  <si>
    <t>Quiz 8.1</t>
  </si>
  <si>
    <t xml:space="preserve">Placeholder - Diverse tasks </t>
  </si>
  <si>
    <t>Quiz 8.2</t>
  </si>
  <si>
    <t>TBD</t>
  </si>
  <si>
    <t xml:space="preserve">Placeholder - Diverse Tasks </t>
  </si>
  <si>
    <t>Quiz 9.1</t>
  </si>
  <si>
    <t>Quiz 8.3</t>
  </si>
  <si>
    <t xml:space="preserve">Quiz 11.1 </t>
  </si>
  <si>
    <t xml:space="preserve">Quiz 11.2 </t>
  </si>
  <si>
    <t xml:space="preserve">Avoiding pitfalls </t>
  </si>
  <si>
    <t>Quiz 11.3</t>
  </si>
  <si>
    <t xml:space="preserve">Quiz 12.1 </t>
  </si>
  <si>
    <t>Quiz 12.3</t>
  </si>
  <si>
    <t xml:space="preserve">Quiz 13.1 </t>
  </si>
  <si>
    <t>Quiz 13.2</t>
  </si>
  <si>
    <t>Quiz 13.3</t>
  </si>
  <si>
    <t>Quiz 13.4</t>
  </si>
  <si>
    <t>Quiz 14.1</t>
  </si>
  <si>
    <t>Quiz 14.2</t>
  </si>
  <si>
    <t>Quiz 14.3</t>
  </si>
  <si>
    <t xml:space="preserve">TBD  - Proposal - IP Interview with an EPC (Sunotec) about pricing </t>
  </si>
  <si>
    <t>Quiz 15.1</t>
  </si>
  <si>
    <t>Quiz 15.2</t>
  </si>
  <si>
    <t>Quiz 15.3</t>
  </si>
  <si>
    <t>Quiz 16.1</t>
  </si>
  <si>
    <t xml:space="preserve">Assessment </t>
  </si>
  <si>
    <t>Distinction between Solar PV and Solar Thermal</t>
  </si>
  <si>
    <t>Lecture video - Types of energy storage applicable to solar PV</t>
  </si>
  <si>
    <t>Lecture video - Common O&amp;M practices</t>
  </si>
  <si>
    <t xml:space="preserve">Lecture video - Common Faults in PV Systems </t>
  </si>
  <si>
    <t>IP provider - Interview with a Solar Association (BSW, NSEFI, etc.)</t>
  </si>
  <si>
    <t xml:space="preserve">Inhouse Video on importance of Solar Including some content from IP such as Sunotec or SMA </t>
  </si>
  <si>
    <t>Introduction of Lex solar boxes and exercises : Introduction to use of multimeters, Measurement of voltage, Measurement of current</t>
  </si>
  <si>
    <r>
      <t>Lex Solar Exercises</t>
    </r>
    <r>
      <rPr>
        <strike/>
        <sz val="12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>Setup of a simple circuit - Motor rotation</t>
    </r>
  </si>
  <si>
    <t>Lex solar exercises:  Ohm's Law, Series connection of ohmic resistances, Parallel connection of ohmic resistances</t>
  </si>
  <si>
    <t>Lex Solar exercises: Series and parallel connection of solar cells (quantitative), exercises - application of concepts to the solar system</t>
  </si>
  <si>
    <t xml:space="preserve">IP Content -  Reiling </t>
  </si>
  <si>
    <t xml:space="preserve">Proposed exercises Lex Solar - Dependence of solar cell power on its area, Dependence of solar cell power on angle of incidence of light, </t>
  </si>
  <si>
    <t>IP: SustainGroup South Africa</t>
  </si>
  <si>
    <t xml:space="preserve">Lex Solar interactive exercises: Partial shading of series-connected solar cells, Dependence of solar cell power on temperature </t>
  </si>
  <si>
    <t xml:space="preserve">Shading and Maintainance </t>
  </si>
  <si>
    <t>IP about importance of O&amp;M, IP Interview with an EPC (Sunotec) about O&amp;M</t>
  </si>
  <si>
    <t>IP : Solar manufacturing</t>
  </si>
  <si>
    <t xml:space="preserve"> Proposal - Lex Solar exercise: Components of a solar off-grid system,Possible operating conditions of an off-grid system  or IP on battery storage</t>
  </si>
  <si>
    <t>Lex Solar Exercises: I-V-characteristics of different solar modules, I-V-characteristics of partial shaded solar modules</t>
  </si>
  <si>
    <t>Quiz 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</si>
</sst>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164" fontId="1" fillId="3" borderId="0" xfId="0" applyNumberFormat="1" applyFont="1" applyFill="1" applyAlignment="1">
      <alignment horizontal="center" wrapText="1"/>
    </xf>
    <xf numFmtId="164" fontId="6" fillId="3" borderId="0" xfId="0" applyNumberFormat="1" applyFont="1" applyFill="1" applyAlignment="1">
      <alignment horizontal="center" wrapText="1"/>
    </xf>
    <xf numFmtId="0" fontId="0" fillId="5" borderId="0" xfId="0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wrapText="1"/>
    </xf>
    <xf numFmtId="0" fontId="0" fillId="2" borderId="0" xfId="0" applyFill="1" applyAlignment="1">
      <alignment wrapText="1"/>
    </xf>
    <xf numFmtId="164" fontId="5" fillId="4" borderId="0" xfId="0" applyNumberFormat="1" applyFont="1" applyFill="1" applyAlignment="1">
      <alignment horizontal="center" wrapText="1"/>
    </xf>
    <xf numFmtId="164" fontId="5" fillId="6" borderId="0" xfId="0" applyNumberFormat="1" applyFont="1" applyFill="1" applyAlignment="1">
      <alignment horizontal="center" wrapText="1"/>
    </xf>
    <xf numFmtId="0" fontId="4" fillId="0" borderId="0" xfId="0" applyFont="1" applyAlignment="1">
      <alignment wrapText="1"/>
    </xf>
    <xf numFmtId="164" fontId="6" fillId="4" borderId="0" xfId="0" applyNumberFormat="1" applyFont="1" applyFill="1" applyAlignment="1">
      <alignment horizontal="center" wrapText="1"/>
    </xf>
    <xf numFmtId="0" fontId="6" fillId="5" borderId="0" xfId="0" applyFont="1" applyFill="1" applyAlignment="1">
      <alignment wrapText="1"/>
    </xf>
    <xf numFmtId="0" fontId="4" fillId="2" borderId="0" xfId="0" applyFont="1" applyFill="1"/>
    <xf numFmtId="0" fontId="0" fillId="2" borderId="0" xfId="0" applyFill="1"/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 Moseti" id="{806D098E-5A11-4B67-B01E-22C436802F36}" userId="cbf3419b8ee554a0" providerId="Windows Live"/>
  <person displayName="Torsten Herfert | German Academy of Digital Education GmbH" id="{1759D346-A6AA-4682-8F59-D17E7E012D2F}" userId="S::t.herfert@dadb.com::6781741d-5abd-465f-b8e8-d685d1a2662f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9" dT="2024-12-08T11:45:31.60" personId="{1759D346-A6AA-4682-8F59-D17E7E012D2F}" id="{D6996001-6B7F-4565-B093-DAB0658C84F6}" done="1">
    <text>Interview with a Solar Association (BSW, NSEFI, etc.)</text>
  </threadedComment>
  <threadedComment ref="G11" dT="2024-12-08T11:49:57.28" personId="{1759D346-A6AA-4682-8F59-D17E7E012D2F}" id="{AA83EF38-5B14-4A63-AB95-6FD67BC2446C}">
    <text>I‘ve added the total length of each period for a better overview.</text>
  </threadedComment>
  <threadedComment ref="I15" dT="2024-12-08T11:46:33.48" personId="{1759D346-A6AA-4682-8F59-D17E7E012D2F}" id="{6487CE76-0EF9-448D-911D-0EE233276353}" done="1">
    <text>Probably, we develop a video about the importance of solar incl. some contribution of our IP (sunotec, SMA, …) - TH</text>
  </threadedComment>
  <threadedComment ref="J15" dT="2024-12-08T11:50:42.90" personId="{1759D346-A6AA-4682-8F59-D17E7E012D2F}" id="{741947E5-7185-4272-8CD9-8A37613A69DB}" done="1">
    <text>I think a guided exercise doesn‘t make sense in this period.</text>
  </threadedComment>
  <threadedComment ref="E29" dT="2024-12-07T06:47:01.34" personId="{806D098E-5A11-4B67-B01E-22C436802F36}" id="{2198365E-1946-4B32-B9DA-71FA2F317839}" done="1">
    <text xml:space="preserve">As all these exercises are important, During development of the exercise we will try to make them fit into the 20 Min slot. They are also short exercises, I don’t think it would be a problem. </text>
  </threadedComment>
  <threadedComment ref="E29" dT="2024-12-07T06:48:20.37" personId="{806D098E-5A11-4B67-B01E-22C436802F36}" id="{C1D42505-1176-436F-851E-02935ACF09B2}" parentId="{2198365E-1946-4B32-B9DA-71FA2F317839}">
    <text>I also suggest that we have them just before the summary video as they cover all the content in this period.</text>
  </threadedComment>
  <threadedComment ref="I35" dT="2024-12-08T11:47:42.63" personId="{1759D346-A6AA-4682-8F59-D17E7E012D2F}" id="{FCEBCDD5-A0DC-47C8-9D35-1221E6071F89}" done="1">
    <text>We definitely need an Lexsolar exercise in this period that learners can work with what they've learnt the previos period. Take care of the total length of the period.</text>
  </threadedComment>
  <threadedComment ref="I46" dT="2024-12-08T11:48:43.40" personId="{1759D346-A6AA-4682-8F59-D17E7E012D2F}" id="{9ACA10D0-FF5E-4025-86DE-1A4AEFC5B30B}">
    <text>Order needs to be changed, right? First lecture than quiz. - TH</text>
  </threadedComment>
  <threadedComment ref="I46" dT="2024-12-09T08:01:11.33" personId="{806D098E-5A11-4B67-B01E-22C436802F36}" id="{C96AEA35-12E4-40D4-826C-C28AE7788691}" parentId="{9ACA10D0-FF5E-4025-86DE-1A4AEFC5B30B}">
    <text>Yes.. I believe this was a mistake</text>
  </threadedComment>
  <threadedComment ref="I51" dT="2024-12-08T11:44:00.54" personId="{1759D346-A6AA-4682-8F59-D17E7E012D2F}" id="{DFA18F25-87C8-463E-B483-79D061D0EA06}" done="1">
    <text>Is there a proper Lexsolar exercise or di we have to develop a guided Exercise for repetiion? - TH</text>
  </threadedComment>
  <threadedComment ref="I51" dT="2024-12-09T08:01:47.51" personId="{806D098E-5A11-4B67-B01E-22C436802F36}" id="{BCD1A08D-88DB-4E79-98F0-DB2431D233A8}" parentId="{DFA18F25-87C8-463E-B483-79D061D0EA06}">
    <text>The proposed are exercises from lex solar. I have properly labeled them</text>
  </threadedComment>
  <threadedComment ref="E59" dT="2024-12-08T11:51:59.87" personId="{1759D346-A6AA-4682-8F59-D17E7E012D2F}" id="{190BB1D1-328A-4E92-94BF-19699E557BB3}" done="1">
    <text>I would recommend more exercises and repetitions in this stage of the course.</text>
  </threadedComment>
  <threadedComment ref="E69" dT="2024-12-08T11:54:03.71" personId="{1759D346-A6AA-4682-8F59-D17E7E012D2F}" id="{C7061E58-195A-41D6-9C5E-1F1DABB2C5E1}">
    <text>Module manufacturing will be separatly in the solar module course. But we can produce a 15 minutes summary. Than we should use the exercise at another place in this course.</text>
  </threadedComment>
  <threadedComment ref="E69" dT="2024-12-09T08:19:27.31" personId="{806D098E-5A11-4B67-B01E-22C436802F36}" id="{68E96DDB-9EAB-4566-AA56-4CB67DAE39A9}" parentId="{C7061E58-195A-41D6-9C5E-1F1DABB2C5E1}">
    <text>I agree. IP content is best for this section</text>
  </threadedComment>
  <threadedComment ref="E78" dT="2024-12-08T11:57:17.86" personId="{1759D346-A6AA-4682-8F59-D17E7E012D2F}" id="{3B7FD75D-37F6-471D-B77B-496067E7AA13}" done="1">
    <text>Reiling(recycling) could be a very good solution.</text>
  </threadedComment>
  <threadedComment ref="E87" dT="2024-12-08T11:58:19.76" personId="{1759D346-A6AA-4682-8F59-D17E7E012D2F}" id="{31D7E352-764E-4357-96C1-B22B5F2FC045}">
    <text>Do we have an Lexsolar exercise ?</text>
  </threadedComment>
  <threadedComment ref="E87" dT="2024-12-09T08:08:46.26" personId="{806D098E-5A11-4B67-B01E-22C436802F36}" id="{11F3B47B-C8BB-4C9F-A68A-B20014BEA14E}" parentId="{31D7E352-764E-4357-96C1-B22B5F2FC045}">
    <text>I have proposed a relevant exercise and kept the option of IP on battery storage</text>
  </threadedComment>
  <threadedComment ref="E98" dT="2024-12-08T12:00:15.66" personId="{1759D346-A6AA-4682-8F59-D17E7E012D2F}" id="{6B768E4C-8C0C-4435-AE00-194AEFCC17F7}">
    <text>This is too general for me. Do we have an exercise? What could be the topic for an IP?</text>
  </threadedComment>
  <threadedComment ref="E98" dT="2024-12-09T08:11:19.05" personId="{806D098E-5A11-4B67-B01E-22C436802F36}" id="{361158B3-9DEC-41E2-999D-87ED3E5EBBEB}" parentId="{6B768E4C-8C0C-4435-AE00-194AEFCC17F7}">
    <text xml:space="preserve">These are Lex solar exercises. Should be enough, I don’t think we need IP content here. </text>
  </threadedComment>
  <threadedComment ref="E108" dT="2024-12-08T12:01:04.01" personId="{1759D346-A6AA-4682-8F59-D17E7E012D2F}" id="{02EC8A39-0F3A-4048-8586-3F513556C457}" done="1">
    <text>Definitely the right IP.</text>
  </threadedComment>
  <threadedComment ref="E121" dT="2024-12-08T12:02:36.55" personId="{1759D346-A6AA-4682-8F59-D17E7E012D2F}" id="{FE02B0E6-0F3B-47CE-B620-9B5E68F7467A}">
    <text>I suppose a guided exercise and Lexsolar applications are the right tool to teach this topic. Please more details.</text>
  </threadedComment>
  <threadedComment ref="E121" dT="2024-12-09T08:13:00.60" personId="{806D098E-5A11-4B67-B01E-22C436802F36}" id="{19D173C4-753E-4306-A2D0-11ADD20A385D}" parentId="{FE02B0E6-0F3B-47CE-B620-9B5E68F7467A}">
    <text xml:space="preserve">We have relevant lex solar exercises. </text>
  </threadedComment>
  <threadedComment ref="E128" dT="2024-12-08T12:04:19.18" personId="{1759D346-A6AA-4682-8F59-D17E7E012D2F}" id="{47C517FB-A022-40AD-A819-8B1F23C12D16}">
    <text>This part can be a bit shorter since the total length is 52 minutes. Which exercise we can use?</text>
  </threadedComment>
  <threadedComment ref="E141" dT="2024-12-08T12:05:06.98" personId="{1759D346-A6AA-4682-8F59-D17E7E012D2F}" id="{BAFC1EDD-619C-4097-AF06-EEC26C1406A3}" done="1">
    <text>This period is tailor made for Sunotec IP.</text>
  </threadedComment>
  <threadedComment ref="E149" dT="2024-12-08T12:06:12.77" personId="{1759D346-A6AA-4682-8F59-D17E7E012D2F}" id="{9CF7B34C-E530-4123-A79C-3745245E0B2B}" done="1">
    <text>I agree.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A9A1-20F0-874E-97A3-A6663A75D496}">
  <dimension ref="A1:J162"/>
  <sheetViews>
    <sheetView tabSelected="1" topLeftCell="B1" zoomScale="70" zoomScaleNormal="70" workbookViewId="0">
      <selection activeCell="E15" sqref="E15"/>
    </sheetView>
  </sheetViews>
  <sheetFormatPr baseColWidth="10" defaultColWidth="11" defaultRowHeight="15.75" x14ac:dyDescent="0.5"/>
  <cols>
    <col min="1" max="1" width="4.3125" style="4" hidden="1" customWidth="1"/>
    <col min="2" max="2" width="10.1875" style="4" customWidth="1"/>
    <col min="3" max="3" width="29.1875" style="4" customWidth="1"/>
    <col min="4" max="4" width="24.1875" style="4" customWidth="1"/>
    <col min="5" max="5" width="61.5" style="4" customWidth="1"/>
    <col min="6" max="6" width="43" style="4" hidden="1" customWidth="1"/>
    <col min="7" max="7" width="27.1875" style="4" customWidth="1"/>
    <col min="8" max="8" width="28.6875" style="4" hidden="1" customWidth="1"/>
    <col min="9" max="9" width="59.3125" style="4" customWidth="1"/>
    <col min="10" max="10" width="32.1875" style="4" customWidth="1"/>
    <col min="11" max="16384" width="11" style="4"/>
  </cols>
  <sheetData>
    <row r="1" spans="1:10" ht="43.05" customHeigh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132</v>
      </c>
      <c r="H1" s="2" t="s">
        <v>6</v>
      </c>
      <c r="I1" s="2" t="s">
        <v>7</v>
      </c>
    </row>
    <row r="2" spans="1:10" ht="63" x14ac:dyDescent="0.5">
      <c r="A2" s="4" t="s">
        <v>8</v>
      </c>
      <c r="B2" s="21">
        <v>1</v>
      </c>
      <c r="C2" s="4" t="s">
        <v>9</v>
      </c>
      <c r="D2" s="4" t="s">
        <v>10</v>
      </c>
      <c r="E2" s="2" t="s">
        <v>165</v>
      </c>
      <c r="G2" s="9">
        <v>6.0034722222222223</v>
      </c>
      <c r="I2" s="4" t="s">
        <v>12</v>
      </c>
    </row>
    <row r="3" spans="1:10" ht="31.5" x14ac:dyDescent="0.5">
      <c r="B3" s="21"/>
      <c r="C3" s="4" t="s">
        <v>9</v>
      </c>
      <c r="D3" s="4" t="s">
        <v>13</v>
      </c>
      <c r="E3" s="4" t="s">
        <v>14</v>
      </c>
      <c r="G3" s="9">
        <v>6.0034722222222223</v>
      </c>
      <c r="I3" s="4" t="s">
        <v>15</v>
      </c>
    </row>
    <row r="4" spans="1:10" ht="31.5" x14ac:dyDescent="0.5">
      <c r="B4" s="21"/>
      <c r="C4" s="4" t="s">
        <v>9</v>
      </c>
      <c r="D4" s="4" t="s">
        <v>16</v>
      </c>
      <c r="E4" s="4" t="s">
        <v>171</v>
      </c>
      <c r="G4" s="9">
        <v>6.0013888888888891</v>
      </c>
    </row>
    <row r="5" spans="1:10" ht="31.5" x14ac:dyDescent="0.5">
      <c r="B5" s="21"/>
      <c r="C5" s="4" t="s">
        <v>9</v>
      </c>
      <c r="D5" s="4" t="s">
        <v>13</v>
      </c>
      <c r="E5" s="4" t="s">
        <v>17</v>
      </c>
      <c r="G5" s="9">
        <v>6.0034722222222223</v>
      </c>
      <c r="I5" s="4" t="s">
        <v>18</v>
      </c>
    </row>
    <row r="6" spans="1:10" ht="31.5" x14ac:dyDescent="0.5">
      <c r="B6" s="21"/>
      <c r="C6" s="4" t="s">
        <v>9</v>
      </c>
      <c r="D6" s="4" t="s">
        <v>16</v>
      </c>
      <c r="E6" s="4" t="s">
        <v>172</v>
      </c>
      <c r="G6" s="9">
        <v>6.0013888888888891</v>
      </c>
    </row>
    <row r="7" spans="1:10" ht="31.5" x14ac:dyDescent="0.5">
      <c r="B7" s="21"/>
      <c r="C7" s="4" t="s">
        <v>9</v>
      </c>
      <c r="D7" s="4" t="s">
        <v>13</v>
      </c>
      <c r="E7" s="4" t="s">
        <v>19</v>
      </c>
      <c r="G7" s="9">
        <v>6.0034722222222223</v>
      </c>
      <c r="I7" s="4" t="s">
        <v>20</v>
      </c>
    </row>
    <row r="8" spans="1:10" ht="31.5" x14ac:dyDescent="0.5">
      <c r="B8" s="21"/>
      <c r="C8" s="4" t="s">
        <v>9</v>
      </c>
      <c r="D8" s="4" t="s">
        <v>16</v>
      </c>
      <c r="E8" s="4" t="s">
        <v>173</v>
      </c>
      <c r="G8" s="9">
        <v>6.0013888888888891</v>
      </c>
    </row>
    <row r="9" spans="1:10" ht="31.5" x14ac:dyDescent="0.5">
      <c r="B9" s="21"/>
      <c r="C9" s="4" t="s">
        <v>9</v>
      </c>
      <c r="D9" s="4" t="s">
        <v>164</v>
      </c>
      <c r="E9" s="4" t="s">
        <v>220</v>
      </c>
      <c r="G9" s="10">
        <v>15.010416666666666</v>
      </c>
      <c r="I9" s="3"/>
    </row>
    <row r="10" spans="1:10" ht="31.5" x14ac:dyDescent="0.5">
      <c r="B10" s="21"/>
      <c r="C10" s="4" t="s">
        <v>9</v>
      </c>
      <c r="D10" s="4" t="s">
        <v>21</v>
      </c>
      <c r="E10" s="4" t="s">
        <v>22</v>
      </c>
      <c r="G10" s="9">
        <v>6.0013888888888891</v>
      </c>
    </row>
    <row r="11" spans="1:10" s="5" customFormat="1" x14ac:dyDescent="0.5">
      <c r="B11" s="11"/>
      <c r="G11" s="12">
        <f>SUM(G2:G10)</f>
        <v>63.02986111111111</v>
      </c>
    </row>
    <row r="12" spans="1:10" ht="31.5" x14ac:dyDescent="0.5">
      <c r="B12" s="21">
        <v>2</v>
      </c>
      <c r="C12" s="4" t="s">
        <v>23</v>
      </c>
      <c r="D12" s="4" t="s">
        <v>10</v>
      </c>
      <c r="E12" s="2" t="s">
        <v>166</v>
      </c>
      <c r="G12" s="9">
        <v>6.0013888888888891</v>
      </c>
    </row>
    <row r="13" spans="1:10" ht="31.5" x14ac:dyDescent="0.5">
      <c r="B13" s="21"/>
      <c r="C13" s="4" t="s">
        <v>23</v>
      </c>
      <c r="D13" s="4" t="s">
        <v>13</v>
      </c>
      <c r="E13" s="4" t="s">
        <v>25</v>
      </c>
      <c r="G13" s="9">
        <v>6.0034722222222223</v>
      </c>
      <c r="I13" s="4" t="s">
        <v>26</v>
      </c>
    </row>
    <row r="14" spans="1:10" ht="31.5" x14ac:dyDescent="0.5">
      <c r="B14" s="21"/>
      <c r="C14" s="4" t="s">
        <v>23</v>
      </c>
      <c r="D14" s="4" t="s">
        <v>16</v>
      </c>
      <c r="E14" s="4" t="s">
        <v>174</v>
      </c>
      <c r="G14" s="9">
        <v>6.0013888888888891</v>
      </c>
    </row>
    <row r="15" spans="1:10" ht="31.5" x14ac:dyDescent="0.5">
      <c r="B15" s="21"/>
      <c r="C15" s="4" t="s">
        <v>23</v>
      </c>
      <c r="D15" s="4" t="s">
        <v>164</v>
      </c>
      <c r="E15" s="4" t="s">
        <v>221</v>
      </c>
      <c r="G15" s="10">
        <v>6.0138888888888893</v>
      </c>
      <c r="I15" s="3"/>
      <c r="J15" s="13" t="s">
        <v>163</v>
      </c>
    </row>
    <row r="16" spans="1:10" ht="31.5" x14ac:dyDescent="0.5">
      <c r="B16" s="21"/>
      <c r="C16" s="4" t="s">
        <v>23</v>
      </c>
      <c r="D16" s="4" t="s">
        <v>13</v>
      </c>
      <c r="E16" s="4" t="s">
        <v>27</v>
      </c>
      <c r="G16" s="14">
        <v>3.472222222222222E-3</v>
      </c>
      <c r="I16" s="4" t="s">
        <v>28</v>
      </c>
    </row>
    <row r="17" spans="2:10" ht="31.5" x14ac:dyDescent="0.5">
      <c r="B17" s="21"/>
      <c r="C17" s="4" t="s">
        <v>23</v>
      </c>
      <c r="D17" s="4" t="s">
        <v>16</v>
      </c>
      <c r="E17" s="4" t="s">
        <v>175</v>
      </c>
      <c r="G17" s="9">
        <v>6.0013888888888891</v>
      </c>
    </row>
    <row r="18" spans="2:10" ht="31.5" x14ac:dyDescent="0.5">
      <c r="B18" s="21"/>
      <c r="C18" s="4" t="s">
        <v>23</v>
      </c>
      <c r="D18" s="4" t="s">
        <v>13</v>
      </c>
      <c r="E18" s="4" t="s">
        <v>29</v>
      </c>
      <c r="G18" s="14">
        <v>3.472222222222222E-3</v>
      </c>
      <c r="I18" s="4" t="s">
        <v>30</v>
      </c>
    </row>
    <row r="19" spans="2:10" ht="31.5" x14ac:dyDescent="0.5">
      <c r="B19" s="21"/>
      <c r="C19" s="4" t="s">
        <v>23</v>
      </c>
      <c r="D19" s="4" t="s">
        <v>16</v>
      </c>
      <c r="E19" s="4" t="s">
        <v>176</v>
      </c>
      <c r="G19" s="14">
        <v>1.3888888888888889E-3</v>
      </c>
    </row>
    <row r="20" spans="2:10" ht="31.5" x14ac:dyDescent="0.5">
      <c r="B20" s="21"/>
      <c r="C20" s="4" t="s">
        <v>23</v>
      </c>
      <c r="D20" s="4" t="s">
        <v>21</v>
      </c>
      <c r="E20" s="4" t="s">
        <v>22</v>
      </c>
      <c r="G20" s="14">
        <v>1.3888888888888889E-3</v>
      </c>
    </row>
    <row r="21" spans="2:10" s="5" customFormat="1" x14ac:dyDescent="0.5">
      <c r="B21" s="11"/>
      <c r="G21" s="15">
        <f>SUM(G12:G20)</f>
        <v>30.031250000000004</v>
      </c>
    </row>
    <row r="22" spans="2:10" ht="29.25" customHeight="1" x14ac:dyDescent="0.5">
      <c r="B22" s="21">
        <v>3</v>
      </c>
      <c r="C22" s="4" t="s">
        <v>31</v>
      </c>
      <c r="D22" s="4" t="s">
        <v>10</v>
      </c>
      <c r="E22" s="2" t="s">
        <v>32</v>
      </c>
      <c r="G22" s="14">
        <v>1.3888888888888889E-3</v>
      </c>
      <c r="I22" s="4" t="s">
        <v>138</v>
      </c>
      <c r="J22" s="4" t="s">
        <v>125</v>
      </c>
    </row>
    <row r="23" spans="2:10" x14ac:dyDescent="0.5">
      <c r="B23" s="21"/>
      <c r="C23" s="4" t="s">
        <v>31</v>
      </c>
      <c r="D23" s="4" t="s">
        <v>13</v>
      </c>
      <c r="E23" s="4" t="s">
        <v>139</v>
      </c>
      <c r="F23" s="8" t="s">
        <v>33</v>
      </c>
      <c r="G23" s="14">
        <v>3.472222222222222E-3</v>
      </c>
      <c r="I23" s="4" t="s">
        <v>34</v>
      </c>
    </row>
    <row r="24" spans="2:10" x14ac:dyDescent="0.5">
      <c r="B24" s="21"/>
      <c r="C24" s="4" t="s">
        <v>31</v>
      </c>
      <c r="D24" s="4" t="s">
        <v>16</v>
      </c>
      <c r="E24" s="4" t="s">
        <v>179</v>
      </c>
      <c r="F24" s="8"/>
      <c r="G24" s="14">
        <v>1.3888888888888889E-3</v>
      </c>
    </row>
    <row r="25" spans="2:10" x14ac:dyDescent="0.5">
      <c r="B25" s="21"/>
      <c r="C25" s="4" t="s">
        <v>31</v>
      </c>
      <c r="D25" s="4" t="s">
        <v>13</v>
      </c>
      <c r="E25" s="4" t="s">
        <v>140</v>
      </c>
      <c r="F25" s="3" t="s">
        <v>35</v>
      </c>
      <c r="G25" s="14">
        <v>3.472222222222222E-3</v>
      </c>
    </row>
    <row r="26" spans="2:10" x14ac:dyDescent="0.5">
      <c r="B26" s="21"/>
      <c r="C26" s="4" t="s">
        <v>31</v>
      </c>
      <c r="D26" s="4" t="s">
        <v>16</v>
      </c>
      <c r="E26" s="4" t="s">
        <v>178</v>
      </c>
      <c r="F26" s="3"/>
      <c r="G26" s="14">
        <v>1.3888888888888889E-3</v>
      </c>
    </row>
    <row r="27" spans="2:10" x14ac:dyDescent="0.5">
      <c r="B27" s="21"/>
      <c r="C27" s="4" t="s">
        <v>31</v>
      </c>
      <c r="D27" s="4" t="s">
        <v>13</v>
      </c>
      <c r="E27" s="4" t="s">
        <v>141</v>
      </c>
      <c r="F27" s="3" t="s">
        <v>36</v>
      </c>
      <c r="G27" s="14">
        <v>3.472222222222222E-3</v>
      </c>
      <c r="I27" s="4" t="s">
        <v>37</v>
      </c>
    </row>
    <row r="28" spans="2:10" x14ac:dyDescent="0.5">
      <c r="B28" s="21"/>
      <c r="C28" s="4" t="s">
        <v>31</v>
      </c>
      <c r="D28" s="4" t="s">
        <v>16</v>
      </c>
      <c r="E28" s="4" t="s">
        <v>177</v>
      </c>
      <c r="G28" s="14">
        <v>1.3888888888888889E-3</v>
      </c>
    </row>
    <row r="29" spans="2:10" ht="31.5" x14ac:dyDescent="0.5">
      <c r="B29" s="21"/>
      <c r="C29" s="4" t="s">
        <v>31</v>
      </c>
      <c r="D29" s="4" t="s">
        <v>10</v>
      </c>
      <c r="E29" s="4" t="s">
        <v>222</v>
      </c>
      <c r="G29" s="14">
        <v>1.3888888888888888E-2</v>
      </c>
      <c r="I29" s="4" t="s">
        <v>137</v>
      </c>
    </row>
    <row r="30" spans="2:10" x14ac:dyDescent="0.5">
      <c r="B30" s="21"/>
      <c r="C30" s="4" t="s">
        <v>31</v>
      </c>
      <c r="D30" s="4" t="s">
        <v>21</v>
      </c>
      <c r="E30" s="4" t="s">
        <v>22</v>
      </c>
      <c r="G30" s="14">
        <v>1.3888888888888889E-3</v>
      </c>
    </row>
    <row r="31" spans="2:10" s="5" customFormat="1" x14ac:dyDescent="0.5">
      <c r="B31" s="11"/>
      <c r="G31" s="15">
        <f>SUM(G22:G30)</f>
        <v>3.1249999999999997E-2</v>
      </c>
      <c r="I31" s="18"/>
    </row>
    <row r="32" spans="2:10" ht="31.5" x14ac:dyDescent="0.5">
      <c r="B32" s="21">
        <v>4</v>
      </c>
      <c r="C32" s="4" t="s">
        <v>167</v>
      </c>
      <c r="D32" s="4" t="s">
        <v>10</v>
      </c>
      <c r="E32" s="2" t="s">
        <v>24</v>
      </c>
      <c r="G32" s="14">
        <v>1.3888888888888889E-3</v>
      </c>
      <c r="I32" s="4" t="s">
        <v>134</v>
      </c>
    </row>
    <row r="33" spans="2:9" ht="31.5" x14ac:dyDescent="0.5">
      <c r="B33" s="21"/>
      <c r="C33" s="4" t="s">
        <v>167</v>
      </c>
      <c r="D33" s="4" t="s">
        <v>13</v>
      </c>
      <c r="E33" s="4" t="s">
        <v>142</v>
      </c>
      <c r="F33" s="8" t="s">
        <v>38</v>
      </c>
      <c r="G33" s="14">
        <v>3.472222222222222E-3</v>
      </c>
      <c r="I33" s="4" t="s">
        <v>39</v>
      </c>
    </row>
    <row r="34" spans="2:9" ht="31.5" x14ac:dyDescent="0.5">
      <c r="B34" s="21"/>
      <c r="C34" s="4" t="s">
        <v>167</v>
      </c>
      <c r="D34" s="4" t="s">
        <v>16</v>
      </c>
      <c r="E34" s="4" t="s">
        <v>180</v>
      </c>
      <c r="F34" s="8"/>
      <c r="G34" s="14">
        <v>1.3888888888888889E-3</v>
      </c>
    </row>
    <row r="35" spans="2:9" ht="31.5" x14ac:dyDescent="0.5">
      <c r="B35" s="21"/>
      <c r="C35" s="4" t="s">
        <v>167</v>
      </c>
      <c r="D35" s="4" t="s">
        <v>164</v>
      </c>
      <c r="E35" s="4" t="s">
        <v>223</v>
      </c>
      <c r="F35" s="8"/>
      <c r="G35" s="17">
        <v>1.0416666666666666E-2</v>
      </c>
      <c r="I35" s="3"/>
    </row>
    <row r="36" spans="2:9" ht="31.5" x14ac:dyDescent="0.5">
      <c r="B36" s="21"/>
      <c r="C36" s="4" t="s">
        <v>167</v>
      </c>
      <c r="D36" s="4" t="s">
        <v>13</v>
      </c>
      <c r="E36" s="4" t="s">
        <v>143</v>
      </c>
      <c r="F36" s="4" t="s">
        <v>41</v>
      </c>
      <c r="G36" s="14">
        <v>3.472222222222222E-3</v>
      </c>
      <c r="I36" s="4" t="s">
        <v>42</v>
      </c>
    </row>
    <row r="37" spans="2:9" ht="31.5" x14ac:dyDescent="0.5">
      <c r="B37" s="21"/>
      <c r="C37" s="4" t="s">
        <v>167</v>
      </c>
      <c r="D37" s="4" t="s">
        <v>16</v>
      </c>
      <c r="E37" s="4" t="s">
        <v>181</v>
      </c>
      <c r="G37" s="14">
        <v>1.3888888888888889E-3</v>
      </c>
    </row>
    <row r="38" spans="2:9" ht="31.5" x14ac:dyDescent="0.5">
      <c r="B38" s="21"/>
      <c r="C38" s="4" t="s">
        <v>167</v>
      </c>
      <c r="D38" s="4" t="s">
        <v>43</v>
      </c>
      <c r="E38" s="3" t="s">
        <v>44</v>
      </c>
      <c r="F38" s="16"/>
      <c r="G38" s="14">
        <v>3.472222222222222E-3</v>
      </c>
      <c r="H38" s="3"/>
      <c r="I38" s="3" t="s">
        <v>45</v>
      </c>
    </row>
    <row r="39" spans="2:9" ht="31.5" x14ac:dyDescent="0.5">
      <c r="B39" s="21"/>
      <c r="C39" s="4" t="s">
        <v>167</v>
      </c>
      <c r="D39" s="4" t="s">
        <v>16</v>
      </c>
      <c r="E39" s="4" t="s">
        <v>182</v>
      </c>
      <c r="F39" s="8"/>
      <c r="G39" s="14">
        <v>1.3888888888888889E-3</v>
      </c>
    </row>
    <row r="40" spans="2:9" ht="31.5" x14ac:dyDescent="0.5">
      <c r="B40" s="21"/>
      <c r="C40" s="4" t="s">
        <v>167</v>
      </c>
      <c r="D40" s="4" t="s">
        <v>13</v>
      </c>
      <c r="E40" s="4" t="s">
        <v>46</v>
      </c>
      <c r="G40" s="14">
        <v>3.472222222222222E-3</v>
      </c>
      <c r="I40" s="4" t="s">
        <v>47</v>
      </c>
    </row>
    <row r="41" spans="2:9" ht="31.5" x14ac:dyDescent="0.5">
      <c r="B41" s="21"/>
      <c r="C41" s="4" t="s">
        <v>167</v>
      </c>
      <c r="D41" s="4" t="s">
        <v>16</v>
      </c>
      <c r="E41" s="4" t="s">
        <v>183</v>
      </c>
      <c r="G41" s="14">
        <v>1.3888888888888889E-3</v>
      </c>
    </row>
    <row r="42" spans="2:9" ht="31.5" x14ac:dyDescent="0.5">
      <c r="B42" s="21"/>
      <c r="C42" s="4" t="s">
        <v>167</v>
      </c>
      <c r="D42" s="4" t="s">
        <v>21</v>
      </c>
      <c r="E42" s="4" t="s">
        <v>22</v>
      </c>
      <c r="G42" s="14">
        <v>1.3888888888888889E-3</v>
      </c>
    </row>
    <row r="43" spans="2:9" s="5" customFormat="1" x14ac:dyDescent="0.5">
      <c r="B43" s="11"/>
      <c r="G43" s="15">
        <f>SUM(G32:G42)</f>
        <v>3.2638888888888877E-2</v>
      </c>
    </row>
    <row r="44" spans="2:9" ht="31.5" x14ac:dyDescent="0.5">
      <c r="B44" s="21">
        <v>5</v>
      </c>
      <c r="C44" s="4" t="s">
        <v>168</v>
      </c>
      <c r="D44" s="4" t="s">
        <v>10</v>
      </c>
      <c r="E44" s="4" t="s">
        <v>32</v>
      </c>
      <c r="G44" s="14">
        <v>1.3888888888888889E-3</v>
      </c>
    </row>
    <row r="45" spans="2:9" ht="31.5" x14ac:dyDescent="0.5">
      <c r="B45" s="21"/>
      <c r="C45" s="4" t="s">
        <v>168</v>
      </c>
      <c r="D45" s="4" t="s">
        <v>13</v>
      </c>
      <c r="E45" s="3" t="s">
        <v>48</v>
      </c>
      <c r="G45" s="14">
        <v>3.472222222222222E-3</v>
      </c>
      <c r="I45" s="3" t="s">
        <v>45</v>
      </c>
    </row>
    <row r="46" spans="2:9" ht="31.5" x14ac:dyDescent="0.5">
      <c r="B46" s="21"/>
      <c r="C46" s="4" t="s">
        <v>168</v>
      </c>
      <c r="D46" s="4" t="s">
        <v>16</v>
      </c>
      <c r="E46" s="4" t="s">
        <v>184</v>
      </c>
      <c r="G46" s="14">
        <v>1.3888888888888889E-3</v>
      </c>
      <c r="I46" s="3"/>
    </row>
    <row r="47" spans="2:9" ht="31.5" x14ac:dyDescent="0.5">
      <c r="B47" s="21"/>
      <c r="C47" s="4" t="s">
        <v>168</v>
      </c>
      <c r="D47" s="4" t="s">
        <v>13</v>
      </c>
      <c r="E47" s="3" t="s">
        <v>50</v>
      </c>
      <c r="G47" s="14">
        <v>3.472222222222222E-3</v>
      </c>
      <c r="I47" s="3" t="s">
        <v>45</v>
      </c>
    </row>
    <row r="48" spans="2:9" ht="31.5" x14ac:dyDescent="0.5">
      <c r="B48" s="21"/>
      <c r="C48" s="4" t="s">
        <v>168</v>
      </c>
      <c r="D48" s="4" t="s">
        <v>16</v>
      </c>
      <c r="E48" s="4" t="s">
        <v>185</v>
      </c>
      <c r="G48" s="14">
        <v>1.3888888888888889E-3</v>
      </c>
    </row>
    <row r="49" spans="2:9" ht="31.5" x14ac:dyDescent="0.5">
      <c r="B49" s="21"/>
      <c r="C49" s="4" t="s">
        <v>168</v>
      </c>
      <c r="D49" s="4" t="s">
        <v>13</v>
      </c>
      <c r="E49" s="4" t="s">
        <v>51</v>
      </c>
      <c r="F49" s="3"/>
      <c r="G49" s="14">
        <v>3.472222222222222E-3</v>
      </c>
      <c r="I49" s="4" t="s">
        <v>52</v>
      </c>
    </row>
    <row r="50" spans="2:9" ht="31.5" x14ac:dyDescent="0.5">
      <c r="B50" s="21"/>
      <c r="C50" s="4" t="s">
        <v>168</v>
      </c>
      <c r="D50" s="4" t="s">
        <v>16</v>
      </c>
      <c r="E50" s="4" t="s">
        <v>63</v>
      </c>
      <c r="F50" s="3"/>
      <c r="G50" s="14">
        <v>1.3888888888888889E-3</v>
      </c>
      <c r="I50" s="3"/>
    </row>
    <row r="51" spans="2:9" ht="38.25" customHeight="1" x14ac:dyDescent="0.5">
      <c r="B51" s="21"/>
      <c r="C51" s="4" t="s">
        <v>168</v>
      </c>
      <c r="D51" s="4" t="s">
        <v>164</v>
      </c>
      <c r="E51" s="4" t="s">
        <v>224</v>
      </c>
      <c r="G51" s="14">
        <v>1.3888888888888888E-2</v>
      </c>
    </row>
    <row r="52" spans="2:9" ht="31.5" x14ac:dyDescent="0.5">
      <c r="B52" s="21"/>
      <c r="C52" s="4" t="s">
        <v>168</v>
      </c>
      <c r="D52" s="4" t="s">
        <v>21</v>
      </c>
      <c r="E52" s="4" t="s">
        <v>21</v>
      </c>
      <c r="G52" s="14">
        <v>1.3888888888888889E-3</v>
      </c>
    </row>
    <row r="53" spans="2:9" s="5" customFormat="1" x14ac:dyDescent="0.5">
      <c r="B53" s="11"/>
      <c r="G53" s="15">
        <f>SUM(G44:G52)</f>
        <v>3.1249999999999997E-2</v>
      </c>
    </row>
    <row r="54" spans="2:9" ht="31.5" x14ac:dyDescent="0.5">
      <c r="B54" s="21">
        <v>6</v>
      </c>
      <c r="C54" s="4" t="s">
        <v>170</v>
      </c>
      <c r="D54" s="4" t="s">
        <v>10</v>
      </c>
      <c r="E54" s="4" t="s">
        <v>32</v>
      </c>
      <c r="G54" s="14">
        <v>1.3888888888888889E-3</v>
      </c>
    </row>
    <row r="55" spans="2:9" ht="31.5" x14ac:dyDescent="0.5">
      <c r="B55" s="21"/>
      <c r="C55" s="4" t="s">
        <v>170</v>
      </c>
      <c r="D55" s="4" t="s">
        <v>13</v>
      </c>
      <c r="E55" s="4" t="s">
        <v>144</v>
      </c>
      <c r="G55" s="14">
        <v>3.472222222222222E-3</v>
      </c>
      <c r="I55" s="4" t="s">
        <v>133</v>
      </c>
    </row>
    <row r="56" spans="2:9" ht="31.5" x14ac:dyDescent="0.5">
      <c r="B56" s="21"/>
      <c r="C56" s="4" t="s">
        <v>170</v>
      </c>
      <c r="D56" s="4" t="s">
        <v>16</v>
      </c>
      <c r="E56" s="4" t="s">
        <v>69</v>
      </c>
      <c r="G56" s="14">
        <v>1.3888888888888889E-3</v>
      </c>
    </row>
    <row r="57" spans="2:9" ht="31.5" x14ac:dyDescent="0.5">
      <c r="B57" s="21"/>
      <c r="C57" s="4" t="s">
        <v>170</v>
      </c>
      <c r="D57" s="4" t="s">
        <v>13</v>
      </c>
      <c r="E57" s="3" t="s">
        <v>54</v>
      </c>
      <c r="F57" s="4" t="s">
        <v>53</v>
      </c>
      <c r="G57" s="14">
        <v>3.472222222222222E-3</v>
      </c>
      <c r="I57" s="3" t="s">
        <v>45</v>
      </c>
    </row>
    <row r="58" spans="2:9" ht="31.5" x14ac:dyDescent="0.5">
      <c r="B58" s="21"/>
      <c r="C58" s="4" t="s">
        <v>170</v>
      </c>
      <c r="D58" s="4" t="s">
        <v>16</v>
      </c>
      <c r="E58" s="4" t="s">
        <v>72</v>
      </c>
      <c r="G58" s="14">
        <v>1.3888888888888889E-3</v>
      </c>
    </row>
    <row r="59" spans="2:9" ht="31.5" x14ac:dyDescent="0.5">
      <c r="B59" s="21"/>
      <c r="C59" s="4" t="s">
        <v>170</v>
      </c>
      <c r="D59" s="4" t="s">
        <v>164</v>
      </c>
      <c r="E59" s="4" t="s">
        <v>225</v>
      </c>
      <c r="G59" s="14">
        <v>1.3888888888888888E-2</v>
      </c>
    </row>
    <row r="60" spans="2:9" ht="31.5" x14ac:dyDescent="0.5">
      <c r="B60" s="21"/>
      <c r="C60" s="4" t="s">
        <v>170</v>
      </c>
      <c r="D60" s="4" t="s">
        <v>16</v>
      </c>
      <c r="E60" s="4" t="s">
        <v>186</v>
      </c>
      <c r="G60" s="14">
        <v>1.3888888888888889E-3</v>
      </c>
    </row>
    <row r="61" spans="2:9" ht="31.5" x14ac:dyDescent="0.5">
      <c r="B61" s="21"/>
      <c r="C61" s="4" t="s">
        <v>170</v>
      </c>
      <c r="D61" s="4" t="s">
        <v>13</v>
      </c>
      <c r="E61" s="3" t="s">
        <v>56</v>
      </c>
      <c r="F61" s="8" t="s">
        <v>55</v>
      </c>
      <c r="G61" s="14">
        <v>3.472222222222222E-3</v>
      </c>
      <c r="I61" s="3" t="s">
        <v>45</v>
      </c>
    </row>
    <row r="62" spans="2:9" ht="31.5" x14ac:dyDescent="0.5">
      <c r="B62" s="21"/>
      <c r="C62" s="4" t="s">
        <v>170</v>
      </c>
      <c r="D62" s="4" t="s">
        <v>49</v>
      </c>
      <c r="E62" s="4" t="s">
        <v>235</v>
      </c>
      <c r="F62" s="3"/>
      <c r="G62" s="14">
        <v>1.3888888888888889E-3</v>
      </c>
    </row>
    <row r="63" spans="2:9" ht="31.5" x14ac:dyDescent="0.5">
      <c r="B63" s="21"/>
      <c r="C63" s="4" t="s">
        <v>170</v>
      </c>
      <c r="D63" s="4" t="s">
        <v>21</v>
      </c>
      <c r="E63" s="4" t="s">
        <v>21</v>
      </c>
      <c r="F63" s="4" t="s">
        <v>135</v>
      </c>
      <c r="G63" s="14">
        <v>1.3888888888888889E-3</v>
      </c>
    </row>
    <row r="64" spans="2:9" s="5" customFormat="1" x14ac:dyDescent="0.5">
      <c r="B64" s="11"/>
      <c r="G64" s="15">
        <f>SUM(G54:G63)</f>
        <v>3.2638888888888884E-2</v>
      </c>
    </row>
    <row r="65" spans="2:9" x14ac:dyDescent="0.5">
      <c r="B65" s="21">
        <v>7</v>
      </c>
      <c r="C65" s="4" t="s">
        <v>188</v>
      </c>
      <c r="D65" s="4" t="s">
        <v>10</v>
      </c>
      <c r="E65" s="2" t="s">
        <v>32</v>
      </c>
      <c r="G65" s="14">
        <v>1.3888888888888889E-3</v>
      </c>
    </row>
    <row r="66" spans="2:9" x14ac:dyDescent="0.5">
      <c r="B66" s="21"/>
      <c r="C66" s="4" t="s">
        <v>188</v>
      </c>
      <c r="D66" s="4" t="s">
        <v>13</v>
      </c>
      <c r="E66" s="4" t="s">
        <v>57</v>
      </c>
      <c r="G66" s="14">
        <v>3.472222222222222E-3</v>
      </c>
      <c r="I66" s="4" t="s">
        <v>58</v>
      </c>
    </row>
    <row r="67" spans="2:9" x14ac:dyDescent="0.5">
      <c r="B67" s="21"/>
      <c r="C67" s="4" t="s">
        <v>188</v>
      </c>
      <c r="D67" s="4" t="s">
        <v>16</v>
      </c>
      <c r="E67" s="4" t="s">
        <v>187</v>
      </c>
      <c r="G67" s="14">
        <v>1.3888888888888889E-3</v>
      </c>
    </row>
    <row r="68" spans="2:9" x14ac:dyDescent="0.5">
      <c r="B68" s="21"/>
      <c r="C68" s="4" t="s">
        <v>188</v>
      </c>
      <c r="D68" s="4" t="s">
        <v>13</v>
      </c>
      <c r="E68" s="4" t="s">
        <v>148</v>
      </c>
      <c r="F68" s="4" t="s">
        <v>59</v>
      </c>
      <c r="G68" s="14">
        <v>3.472222222222222E-3</v>
      </c>
      <c r="I68" s="4" t="s">
        <v>60</v>
      </c>
    </row>
    <row r="69" spans="2:9" x14ac:dyDescent="0.5">
      <c r="B69" s="21"/>
      <c r="C69" s="4" t="s">
        <v>188</v>
      </c>
      <c r="D69" s="4" t="s">
        <v>164</v>
      </c>
      <c r="E69" s="4" t="s">
        <v>232</v>
      </c>
      <c r="G69" s="14">
        <v>1.3888888888888888E-2</v>
      </c>
    </row>
    <row r="70" spans="2:9" x14ac:dyDescent="0.5">
      <c r="B70" s="21"/>
      <c r="C70" s="4" t="s">
        <v>188</v>
      </c>
      <c r="D70" s="4" t="s">
        <v>16</v>
      </c>
      <c r="E70" s="4" t="s">
        <v>80</v>
      </c>
      <c r="G70" s="14">
        <v>1.3888888888888889E-3</v>
      </c>
    </row>
    <row r="71" spans="2:9" x14ac:dyDescent="0.5">
      <c r="B71" s="21"/>
      <c r="C71" s="4" t="s">
        <v>188</v>
      </c>
      <c r="D71" s="4" t="s">
        <v>13</v>
      </c>
      <c r="E71" s="4" t="s">
        <v>145</v>
      </c>
      <c r="F71" s="7" t="s">
        <v>61</v>
      </c>
      <c r="G71" s="14">
        <v>3.472222222222222E-3</v>
      </c>
      <c r="I71" s="4" t="s">
        <v>62</v>
      </c>
    </row>
    <row r="72" spans="2:9" x14ac:dyDescent="0.5">
      <c r="B72" s="21"/>
      <c r="C72" s="4" t="s">
        <v>188</v>
      </c>
      <c r="D72" s="4" t="s">
        <v>16</v>
      </c>
      <c r="E72" s="4" t="s">
        <v>83</v>
      </c>
      <c r="G72" s="14">
        <v>3.472222222222222E-3</v>
      </c>
    </row>
    <row r="73" spans="2:9" x14ac:dyDescent="0.5">
      <c r="B73" s="21"/>
      <c r="C73" s="4" t="s">
        <v>188</v>
      </c>
      <c r="D73" s="4" t="s">
        <v>21</v>
      </c>
      <c r="E73" s="4" t="s">
        <v>22</v>
      </c>
      <c r="G73" s="14">
        <v>1.3888888888888889E-3</v>
      </c>
    </row>
    <row r="74" spans="2:9" s="5" customFormat="1" x14ac:dyDescent="0.5">
      <c r="G74" s="15">
        <f>SUM(G65:G73)</f>
        <v>3.3333333333333333E-2</v>
      </c>
    </row>
    <row r="75" spans="2:9" x14ac:dyDescent="0.5">
      <c r="B75" s="21">
        <v>8</v>
      </c>
      <c r="C75" s="4" t="s">
        <v>189</v>
      </c>
      <c r="D75" s="4" t="s">
        <v>10</v>
      </c>
      <c r="E75" s="4" t="s">
        <v>32</v>
      </c>
      <c r="G75" s="14">
        <v>1.3888888888888889E-3</v>
      </c>
    </row>
    <row r="76" spans="2:9" ht="17" customHeight="1" x14ac:dyDescent="0.5">
      <c r="B76" s="21"/>
      <c r="C76" s="4" t="s">
        <v>189</v>
      </c>
      <c r="D76" s="4" t="s">
        <v>13</v>
      </c>
      <c r="E76" s="4" t="s">
        <v>146</v>
      </c>
      <c r="G76" s="14">
        <v>3.472222222222222E-3</v>
      </c>
      <c r="I76" s="4" t="s">
        <v>64</v>
      </c>
    </row>
    <row r="77" spans="2:9" x14ac:dyDescent="0.5">
      <c r="B77" s="21"/>
      <c r="C77" s="4" t="s">
        <v>189</v>
      </c>
      <c r="D77" s="4" t="s">
        <v>16</v>
      </c>
      <c r="E77" s="4" t="s">
        <v>190</v>
      </c>
      <c r="G77" s="14">
        <v>1.3888888888888889E-3</v>
      </c>
    </row>
    <row r="78" spans="2:9" x14ac:dyDescent="0.5">
      <c r="B78" s="21"/>
      <c r="C78" s="4" t="s">
        <v>189</v>
      </c>
      <c r="D78" s="4" t="s">
        <v>191</v>
      </c>
      <c r="E78" s="4" t="s">
        <v>226</v>
      </c>
      <c r="G78" s="14">
        <v>1.3888888888888888E-2</v>
      </c>
    </row>
    <row r="79" spans="2:9" x14ac:dyDescent="0.5">
      <c r="B79" s="21"/>
      <c r="C79" s="4" t="s">
        <v>189</v>
      </c>
      <c r="D79" s="4" t="s">
        <v>13</v>
      </c>
      <c r="E79" s="4" t="s">
        <v>147</v>
      </c>
      <c r="G79" s="14">
        <v>3.472222222222222E-3</v>
      </c>
      <c r="I79" s="4" t="s">
        <v>65</v>
      </c>
    </row>
    <row r="80" spans="2:9" x14ac:dyDescent="0.5">
      <c r="B80" s="21"/>
      <c r="C80" s="4" t="s">
        <v>189</v>
      </c>
      <c r="D80" s="4" t="s">
        <v>16</v>
      </c>
      <c r="E80" s="4" t="s">
        <v>192</v>
      </c>
      <c r="G80" s="14">
        <v>1.3888888888888889E-3</v>
      </c>
    </row>
    <row r="81" spans="2:9" ht="31.5" x14ac:dyDescent="0.5">
      <c r="B81" s="21"/>
      <c r="C81" s="4" t="s">
        <v>189</v>
      </c>
      <c r="D81" s="4" t="s">
        <v>216</v>
      </c>
      <c r="E81" s="3" t="s">
        <v>193</v>
      </c>
      <c r="G81" s="17">
        <v>3.472222222222222E-3</v>
      </c>
      <c r="I81" s="3"/>
    </row>
    <row r="82" spans="2:9" x14ac:dyDescent="0.5">
      <c r="B82" s="21"/>
      <c r="C82" s="4" t="s">
        <v>189</v>
      </c>
      <c r="D82" s="4" t="s">
        <v>16</v>
      </c>
      <c r="E82" s="3" t="s">
        <v>196</v>
      </c>
      <c r="G82" s="17">
        <v>1.3888888888888889E-3</v>
      </c>
      <c r="I82" s="3"/>
    </row>
    <row r="83" spans="2:9" x14ac:dyDescent="0.5">
      <c r="B83" s="21"/>
      <c r="C83" s="4" t="s">
        <v>189</v>
      </c>
      <c r="D83" s="4" t="s">
        <v>21</v>
      </c>
      <c r="E83" s="4" t="s">
        <v>22</v>
      </c>
      <c r="G83" s="14">
        <v>1.3888888888888889E-3</v>
      </c>
    </row>
    <row r="84" spans="2:9" s="5" customFormat="1" x14ac:dyDescent="0.5">
      <c r="B84" s="11"/>
      <c r="G84" s="15">
        <f>SUM(G75:G83)</f>
        <v>3.1249999999999993E-2</v>
      </c>
    </row>
    <row r="85" spans="2:9" x14ac:dyDescent="0.5">
      <c r="B85" s="21">
        <v>9</v>
      </c>
      <c r="C85" s="4" t="s">
        <v>66</v>
      </c>
      <c r="D85" s="4" t="s">
        <v>10</v>
      </c>
      <c r="E85" s="2" t="s">
        <v>24</v>
      </c>
      <c r="G85" s="14">
        <v>1.3888888888888889E-3</v>
      </c>
    </row>
    <row r="86" spans="2:9" x14ac:dyDescent="0.5">
      <c r="B86" s="21"/>
      <c r="C86" s="4" t="s">
        <v>66</v>
      </c>
      <c r="D86" s="4" t="s">
        <v>13</v>
      </c>
      <c r="E86" s="4" t="s">
        <v>149</v>
      </c>
      <c r="F86" s="4" t="s">
        <v>67</v>
      </c>
      <c r="G86" s="14">
        <v>3.472222222222222E-3</v>
      </c>
      <c r="I86" s="4" t="s">
        <v>68</v>
      </c>
    </row>
    <row r="87" spans="2:9" ht="47.25" x14ac:dyDescent="0.5">
      <c r="B87" s="21"/>
      <c r="C87" s="4" t="s">
        <v>66</v>
      </c>
      <c r="D87" s="4" t="s">
        <v>194</v>
      </c>
      <c r="E87" s="4" t="s">
        <v>233</v>
      </c>
      <c r="G87" s="14">
        <v>1.3888888888888888E-2</v>
      </c>
    </row>
    <row r="88" spans="2:9" x14ac:dyDescent="0.5">
      <c r="B88" s="21"/>
      <c r="C88" s="4" t="s">
        <v>66</v>
      </c>
      <c r="D88" s="4" t="s">
        <v>16</v>
      </c>
      <c r="E88" s="4" t="s">
        <v>195</v>
      </c>
      <c r="G88" s="14">
        <v>1.3888888888888889E-3</v>
      </c>
    </row>
    <row r="89" spans="2:9" x14ac:dyDescent="0.5">
      <c r="B89" s="21"/>
      <c r="C89" s="4" t="s">
        <v>66</v>
      </c>
      <c r="D89" s="4" t="s">
        <v>13</v>
      </c>
      <c r="E89" s="4" t="s">
        <v>70</v>
      </c>
      <c r="G89" s="14">
        <v>3.472222222222222E-3</v>
      </c>
      <c r="I89" s="4" t="s">
        <v>71</v>
      </c>
    </row>
    <row r="90" spans="2:9" x14ac:dyDescent="0.5">
      <c r="B90" s="21"/>
      <c r="C90" s="4" t="s">
        <v>66</v>
      </c>
      <c r="D90" s="4" t="s">
        <v>16</v>
      </c>
      <c r="E90" s="4" t="s">
        <v>96</v>
      </c>
      <c r="G90" s="14">
        <v>1.3888888888888889E-3</v>
      </c>
    </row>
    <row r="91" spans="2:9" ht="47.25" x14ac:dyDescent="0.5">
      <c r="B91" s="21"/>
      <c r="C91" s="4" t="s">
        <v>66</v>
      </c>
      <c r="D91" s="4" t="s">
        <v>217</v>
      </c>
      <c r="E91" s="3" t="s">
        <v>193</v>
      </c>
      <c r="G91" s="17">
        <v>3.472222222222222E-3</v>
      </c>
      <c r="I91" s="3"/>
    </row>
    <row r="92" spans="2:9" x14ac:dyDescent="0.5">
      <c r="B92" s="21"/>
      <c r="C92" s="4" t="s">
        <v>66</v>
      </c>
      <c r="D92" s="4" t="s">
        <v>16</v>
      </c>
      <c r="E92" s="3" t="s">
        <v>99</v>
      </c>
      <c r="G92" s="17">
        <v>1.3888888888888889E-3</v>
      </c>
    </row>
    <row r="93" spans="2:9" x14ac:dyDescent="0.5">
      <c r="B93" s="21"/>
      <c r="C93" s="4" t="s">
        <v>66</v>
      </c>
      <c r="D93" s="4" t="s">
        <v>21</v>
      </c>
      <c r="E93" s="4" t="s">
        <v>22</v>
      </c>
      <c r="G93" s="14">
        <v>1.3888888888888889E-3</v>
      </c>
    </row>
    <row r="94" spans="2:9" s="5" customFormat="1" x14ac:dyDescent="0.5">
      <c r="B94" s="11"/>
      <c r="G94" s="15">
        <f>SUM(G85:G93)</f>
        <v>3.1249999999999993E-2</v>
      </c>
    </row>
    <row r="95" spans="2:9" ht="31.5" x14ac:dyDescent="0.5">
      <c r="B95" s="21">
        <v>10</v>
      </c>
      <c r="C95" s="4" t="s">
        <v>73</v>
      </c>
      <c r="D95" s="4" t="s">
        <v>10</v>
      </c>
      <c r="E95" s="2" t="s">
        <v>150</v>
      </c>
      <c r="F95" s="3" t="s">
        <v>74</v>
      </c>
      <c r="G95" s="14">
        <v>1.3888888888888889E-3</v>
      </c>
    </row>
    <row r="96" spans="2:9" ht="31.5" x14ac:dyDescent="0.5">
      <c r="B96" s="21"/>
      <c r="C96" s="4" t="s">
        <v>73</v>
      </c>
      <c r="D96" s="4" t="s">
        <v>13</v>
      </c>
      <c r="E96" s="4" t="s">
        <v>151</v>
      </c>
      <c r="F96" s="3" t="s">
        <v>75</v>
      </c>
      <c r="G96" s="14">
        <v>3.472222222222222E-3</v>
      </c>
      <c r="I96" s="4" t="s">
        <v>76</v>
      </c>
    </row>
    <row r="97" spans="2:9" ht="31.5" x14ac:dyDescent="0.5">
      <c r="B97" s="21"/>
      <c r="C97" s="4" t="s">
        <v>73</v>
      </c>
      <c r="D97" s="4" t="s">
        <v>16</v>
      </c>
      <c r="E97" s="4" t="s">
        <v>156</v>
      </c>
      <c r="F97" s="8" t="s">
        <v>77</v>
      </c>
      <c r="G97" s="14">
        <v>1.3888888888888889E-3</v>
      </c>
    </row>
    <row r="98" spans="2:9" ht="69" customHeight="1" x14ac:dyDescent="0.5">
      <c r="B98" s="21"/>
      <c r="C98" s="4" t="s">
        <v>73</v>
      </c>
      <c r="D98" s="4" t="s">
        <v>164</v>
      </c>
      <c r="E98" s="3" t="s">
        <v>227</v>
      </c>
      <c r="F98" s="8"/>
      <c r="G98" s="14">
        <v>1.3888888888888888E-2</v>
      </c>
    </row>
    <row r="99" spans="2:9" ht="31.5" x14ac:dyDescent="0.5">
      <c r="B99" s="21"/>
      <c r="C99" s="4" t="s">
        <v>73</v>
      </c>
      <c r="D99" s="4" t="s">
        <v>13</v>
      </c>
      <c r="E99" s="4" t="s">
        <v>78</v>
      </c>
      <c r="G99" s="14">
        <v>3.472222222222222E-3</v>
      </c>
      <c r="I99" s="4" t="s">
        <v>79</v>
      </c>
    </row>
    <row r="100" spans="2:9" ht="31.5" x14ac:dyDescent="0.5">
      <c r="B100" s="21"/>
      <c r="C100" s="4" t="s">
        <v>73</v>
      </c>
      <c r="D100" s="4" t="s">
        <v>16</v>
      </c>
      <c r="E100" s="4" t="s">
        <v>107</v>
      </c>
      <c r="F100" s="3"/>
      <c r="G100" s="14">
        <v>1.3888888888888889E-3</v>
      </c>
    </row>
    <row r="101" spans="2:9" ht="31.5" x14ac:dyDescent="0.5">
      <c r="B101" s="21"/>
      <c r="C101" s="4" t="s">
        <v>73</v>
      </c>
      <c r="D101" s="4" t="s">
        <v>13</v>
      </c>
      <c r="E101" s="4" t="s">
        <v>152</v>
      </c>
      <c r="F101" s="4" t="s">
        <v>81</v>
      </c>
      <c r="G101" s="14">
        <v>3.472222222222222E-3</v>
      </c>
      <c r="I101" s="4" t="s">
        <v>82</v>
      </c>
    </row>
    <row r="102" spans="2:9" ht="31.5" x14ac:dyDescent="0.5">
      <c r="B102" s="21"/>
      <c r="C102" s="4" t="s">
        <v>73</v>
      </c>
      <c r="D102" s="4" t="s">
        <v>16</v>
      </c>
      <c r="E102" s="4" t="s">
        <v>109</v>
      </c>
      <c r="G102" s="14">
        <v>1.3888888888888889E-3</v>
      </c>
    </row>
    <row r="103" spans="2:9" ht="31.5" x14ac:dyDescent="0.5">
      <c r="B103" s="21"/>
      <c r="C103" s="4" t="s">
        <v>73</v>
      </c>
      <c r="D103" s="4" t="s">
        <v>21</v>
      </c>
      <c r="E103" s="4" t="s">
        <v>22</v>
      </c>
      <c r="G103" s="14">
        <v>1.3888888888888889E-3</v>
      </c>
    </row>
    <row r="104" spans="2:9" s="5" customFormat="1" x14ac:dyDescent="0.5">
      <c r="B104" s="11"/>
      <c r="G104" s="15">
        <f>SUM(G95:G103)</f>
        <v>3.1249999999999993E-2</v>
      </c>
    </row>
    <row r="105" spans="2:9" x14ac:dyDescent="0.5">
      <c r="B105" s="21">
        <v>11</v>
      </c>
      <c r="C105" s="4" t="s">
        <v>84</v>
      </c>
      <c r="D105" s="4" t="s">
        <v>10</v>
      </c>
      <c r="E105" s="2" t="s">
        <v>32</v>
      </c>
      <c r="G105" s="14">
        <v>1.3888888888888889E-3</v>
      </c>
    </row>
    <row r="106" spans="2:9" x14ac:dyDescent="0.5">
      <c r="B106" s="21"/>
      <c r="C106" s="4" t="s">
        <v>84</v>
      </c>
      <c r="D106" s="4" t="s">
        <v>13</v>
      </c>
      <c r="E106" s="4" t="s">
        <v>153</v>
      </c>
      <c r="F106" s="8" t="s">
        <v>85</v>
      </c>
      <c r="G106" s="14">
        <v>3.472222222222222E-3</v>
      </c>
      <c r="I106" s="4" t="s">
        <v>86</v>
      </c>
    </row>
    <row r="107" spans="2:9" x14ac:dyDescent="0.5">
      <c r="B107" s="21"/>
      <c r="C107" s="4" t="s">
        <v>84</v>
      </c>
      <c r="D107" s="4" t="s">
        <v>16</v>
      </c>
      <c r="E107" s="4" t="s">
        <v>197</v>
      </c>
      <c r="F107" s="8" t="s">
        <v>87</v>
      </c>
      <c r="G107" s="14">
        <v>1.3888888888888889E-3</v>
      </c>
    </row>
    <row r="108" spans="2:9" x14ac:dyDescent="0.5">
      <c r="B108" s="21"/>
      <c r="C108" s="4" t="s">
        <v>84</v>
      </c>
      <c r="D108" s="4" t="s">
        <v>164</v>
      </c>
      <c r="E108" s="8" t="s">
        <v>228</v>
      </c>
      <c r="F108" s="8"/>
      <c r="G108" s="14">
        <v>1.3888888888888888E-2</v>
      </c>
    </row>
    <row r="109" spans="2:9" x14ac:dyDescent="0.5">
      <c r="B109" s="21"/>
      <c r="C109" s="4" t="s">
        <v>84</v>
      </c>
      <c r="D109" s="4" t="s">
        <v>13</v>
      </c>
      <c r="E109" s="4" t="s">
        <v>154</v>
      </c>
      <c r="F109" s="4" t="s">
        <v>88</v>
      </c>
      <c r="G109" s="14">
        <v>3.472222222222222E-3</v>
      </c>
      <c r="I109" s="4" t="s">
        <v>89</v>
      </c>
    </row>
    <row r="110" spans="2:9" x14ac:dyDescent="0.5">
      <c r="B110" s="21"/>
      <c r="C110" s="4" t="s">
        <v>84</v>
      </c>
      <c r="D110" s="4" t="s">
        <v>16</v>
      </c>
      <c r="E110" s="4" t="s">
        <v>198</v>
      </c>
      <c r="G110" s="14">
        <v>1.3888888888888889E-3</v>
      </c>
    </row>
    <row r="111" spans="2:9" x14ac:dyDescent="0.5">
      <c r="B111" s="21"/>
      <c r="C111" s="4" t="s">
        <v>84</v>
      </c>
      <c r="D111" s="4" t="s">
        <v>13</v>
      </c>
      <c r="E111" s="4" t="s">
        <v>199</v>
      </c>
      <c r="G111" s="14">
        <v>3.472222222222222E-3</v>
      </c>
      <c r="I111" s="4" t="s">
        <v>90</v>
      </c>
    </row>
    <row r="112" spans="2:9" x14ac:dyDescent="0.5">
      <c r="B112" s="21"/>
      <c r="C112" s="4" t="s">
        <v>84</v>
      </c>
      <c r="D112" s="4" t="s">
        <v>16</v>
      </c>
      <c r="E112" s="4" t="s">
        <v>200</v>
      </c>
      <c r="G112" s="14">
        <v>1.3888888888888889E-3</v>
      </c>
    </row>
    <row r="113" spans="2:9" x14ac:dyDescent="0.5">
      <c r="B113" s="21"/>
      <c r="C113" s="4" t="s">
        <v>84</v>
      </c>
      <c r="D113" s="4" t="s">
        <v>21</v>
      </c>
      <c r="E113" s="4" t="s">
        <v>21</v>
      </c>
      <c r="G113" s="14">
        <v>1.3888888888888889E-3</v>
      </c>
    </row>
    <row r="114" spans="2:9" s="5" customFormat="1" x14ac:dyDescent="0.5">
      <c r="B114" s="11"/>
      <c r="G114" s="15">
        <f>SUM(G105:G113)</f>
        <v>3.1249999999999993E-2</v>
      </c>
    </row>
    <row r="115" spans="2:9" x14ac:dyDescent="0.5">
      <c r="B115" s="21">
        <v>12</v>
      </c>
      <c r="C115" s="4" t="s">
        <v>91</v>
      </c>
      <c r="D115" s="4" t="s">
        <v>10</v>
      </c>
      <c r="E115" s="2" t="s">
        <v>32</v>
      </c>
      <c r="G115" s="14">
        <v>1.3888888888888889E-3</v>
      </c>
    </row>
    <row r="116" spans="2:9" x14ac:dyDescent="0.5">
      <c r="B116" s="21"/>
      <c r="C116" s="4" t="s">
        <v>91</v>
      </c>
      <c r="D116" s="4" t="s">
        <v>13</v>
      </c>
      <c r="E116" s="4" t="s">
        <v>92</v>
      </c>
      <c r="G116" s="14">
        <v>3.472222222222222E-3</v>
      </c>
      <c r="I116" s="4" t="s">
        <v>93</v>
      </c>
    </row>
    <row r="117" spans="2:9" x14ac:dyDescent="0.5">
      <c r="B117" s="21"/>
      <c r="C117" s="4" t="s">
        <v>91</v>
      </c>
      <c r="D117" s="4" t="s">
        <v>16</v>
      </c>
      <c r="E117" s="4" t="s">
        <v>201</v>
      </c>
      <c r="G117" s="14">
        <v>1.3888888888888889E-3</v>
      </c>
    </row>
    <row r="118" spans="2:9" ht="31.5" x14ac:dyDescent="0.5">
      <c r="B118" s="21"/>
      <c r="C118" s="4" t="s">
        <v>91</v>
      </c>
      <c r="D118" s="4" t="s">
        <v>13</v>
      </c>
      <c r="E118" s="4" t="s">
        <v>94</v>
      </c>
      <c r="F118" s="4" t="s">
        <v>136</v>
      </c>
      <c r="G118" s="14">
        <v>3.472222222222222E-3</v>
      </c>
      <c r="I118" s="4" t="s">
        <v>95</v>
      </c>
    </row>
    <row r="119" spans="2:9" x14ac:dyDescent="0.5">
      <c r="B119" s="21"/>
      <c r="C119" s="4" t="s">
        <v>91</v>
      </c>
      <c r="D119" s="4" t="s">
        <v>16</v>
      </c>
      <c r="E119" s="4" t="s">
        <v>162</v>
      </c>
      <c r="G119" s="14">
        <v>1.3888888888888889E-3</v>
      </c>
    </row>
    <row r="120" spans="2:9" x14ac:dyDescent="0.5">
      <c r="B120" s="21"/>
      <c r="C120" s="4" t="s">
        <v>91</v>
      </c>
      <c r="D120" s="4" t="s">
        <v>13</v>
      </c>
      <c r="E120" s="4" t="s">
        <v>97</v>
      </c>
      <c r="G120" s="14">
        <v>3.472222222222222E-3</v>
      </c>
      <c r="I120" s="4" t="s">
        <v>98</v>
      </c>
    </row>
    <row r="121" spans="2:9" ht="31.5" x14ac:dyDescent="0.5">
      <c r="B121" s="21"/>
      <c r="C121" s="4" t="s">
        <v>91</v>
      </c>
      <c r="D121" s="4" t="s">
        <v>164</v>
      </c>
      <c r="E121" s="4" t="s">
        <v>234</v>
      </c>
      <c r="G121" s="14">
        <v>1.3888888888888888E-2</v>
      </c>
    </row>
    <row r="122" spans="2:9" x14ac:dyDescent="0.5">
      <c r="B122" s="21"/>
      <c r="C122" s="4" t="s">
        <v>91</v>
      </c>
      <c r="D122" s="4" t="s">
        <v>16</v>
      </c>
      <c r="E122" s="4" t="s">
        <v>202</v>
      </c>
      <c r="G122" s="14">
        <v>1.3888888888888889E-3</v>
      </c>
    </row>
    <row r="123" spans="2:9" x14ac:dyDescent="0.5">
      <c r="B123" s="21"/>
      <c r="C123" s="4" t="s">
        <v>91</v>
      </c>
      <c r="D123" s="4" t="s">
        <v>21</v>
      </c>
      <c r="E123" s="4" t="s">
        <v>22</v>
      </c>
      <c r="G123" s="14">
        <v>1.3888888888888889E-3</v>
      </c>
    </row>
    <row r="124" spans="2:9" s="5" customFormat="1" x14ac:dyDescent="0.5">
      <c r="B124" s="11"/>
      <c r="G124" s="15">
        <f>SUM(G115:G123)</f>
        <v>3.1249999999999997E-2</v>
      </c>
    </row>
    <row r="125" spans="2:9" ht="31.5" x14ac:dyDescent="0.5">
      <c r="B125" s="21">
        <v>13</v>
      </c>
      <c r="C125" s="4" t="s">
        <v>100</v>
      </c>
      <c r="D125" s="4" t="s">
        <v>10</v>
      </c>
      <c r="E125" s="2" t="s">
        <v>24</v>
      </c>
      <c r="F125" s="8" t="s">
        <v>101</v>
      </c>
      <c r="G125" s="14">
        <v>1.3888888888888889E-3</v>
      </c>
    </row>
    <row r="126" spans="2:9" ht="31.5" x14ac:dyDescent="0.5">
      <c r="B126" s="21"/>
      <c r="C126" s="4" t="s">
        <v>100</v>
      </c>
      <c r="D126" s="4" t="s">
        <v>13</v>
      </c>
      <c r="E126" s="4" t="s">
        <v>155</v>
      </c>
      <c r="F126" s="8" t="s">
        <v>102</v>
      </c>
      <c r="G126" s="14">
        <v>3.472222222222222E-3</v>
      </c>
      <c r="I126" s="4" t="s">
        <v>103</v>
      </c>
    </row>
    <row r="127" spans="2:9" ht="31.5" x14ac:dyDescent="0.5">
      <c r="B127" s="21"/>
      <c r="C127" s="4" t="s">
        <v>100</v>
      </c>
      <c r="D127" s="4" t="s">
        <v>16</v>
      </c>
      <c r="E127" s="4" t="s">
        <v>203</v>
      </c>
      <c r="F127" s="8" t="s">
        <v>104</v>
      </c>
      <c r="G127" s="14">
        <v>1.3888888888888889E-3</v>
      </c>
    </row>
    <row r="128" spans="2:9" ht="31.5" x14ac:dyDescent="0.5">
      <c r="B128" s="21"/>
      <c r="C128" s="4" t="s">
        <v>100</v>
      </c>
      <c r="D128" s="4" t="s">
        <v>194</v>
      </c>
      <c r="E128" s="8" t="s">
        <v>229</v>
      </c>
      <c r="F128" s="8"/>
      <c r="G128" s="17">
        <v>1.0416666666666666E-2</v>
      </c>
    </row>
    <row r="129" spans="2:9" ht="31.5" x14ac:dyDescent="0.5">
      <c r="B129" s="21"/>
      <c r="C129" s="4" t="s">
        <v>100</v>
      </c>
      <c r="D129" s="4" t="s">
        <v>13</v>
      </c>
      <c r="E129" s="4" t="s">
        <v>157</v>
      </c>
      <c r="F129" s="4" t="s">
        <v>105</v>
      </c>
      <c r="G129" s="14">
        <v>3.472222222222222E-3</v>
      </c>
      <c r="I129" s="4" t="s">
        <v>106</v>
      </c>
    </row>
    <row r="130" spans="2:9" ht="31.5" x14ac:dyDescent="0.5">
      <c r="B130" s="21"/>
      <c r="C130" s="4" t="s">
        <v>100</v>
      </c>
      <c r="D130" s="4" t="s">
        <v>16</v>
      </c>
      <c r="E130" s="4" t="s">
        <v>204</v>
      </c>
      <c r="G130" s="14">
        <v>1.3888888888888889E-3</v>
      </c>
    </row>
    <row r="131" spans="2:9" ht="31.5" x14ac:dyDescent="0.5">
      <c r="B131" s="21"/>
      <c r="C131" s="4" t="s">
        <v>100</v>
      </c>
      <c r="D131" s="4" t="s">
        <v>13</v>
      </c>
      <c r="E131" s="4" t="s">
        <v>230</v>
      </c>
      <c r="F131" s="8" t="s">
        <v>101</v>
      </c>
      <c r="G131" s="14">
        <v>3.472222222222222E-3</v>
      </c>
      <c r="I131" s="4" t="s">
        <v>108</v>
      </c>
    </row>
    <row r="132" spans="2:9" ht="31.5" x14ac:dyDescent="0.5">
      <c r="B132" s="21"/>
      <c r="C132" s="4" t="s">
        <v>100</v>
      </c>
      <c r="D132" s="4" t="s">
        <v>16</v>
      </c>
      <c r="E132" s="4" t="s">
        <v>205</v>
      </c>
      <c r="G132" s="14">
        <v>1.3888888888888889E-3</v>
      </c>
    </row>
    <row r="133" spans="2:9" ht="31.5" x14ac:dyDescent="0.5">
      <c r="B133" s="21"/>
      <c r="C133" s="4" t="s">
        <v>100</v>
      </c>
      <c r="D133" s="4" t="s">
        <v>13</v>
      </c>
      <c r="E133" s="4" t="s">
        <v>158</v>
      </c>
      <c r="F133" s="3" t="s">
        <v>110</v>
      </c>
      <c r="G133" s="14">
        <v>3.472222222222222E-3</v>
      </c>
      <c r="I133" s="4" t="s">
        <v>111</v>
      </c>
    </row>
    <row r="134" spans="2:9" ht="31.5" x14ac:dyDescent="0.5">
      <c r="B134" s="21"/>
      <c r="C134" s="4" t="s">
        <v>100</v>
      </c>
      <c r="D134" s="4" t="s">
        <v>16</v>
      </c>
      <c r="E134" s="4" t="s">
        <v>206</v>
      </c>
      <c r="F134" s="3"/>
      <c r="G134" s="14">
        <v>1.3888888888888889E-3</v>
      </c>
    </row>
    <row r="135" spans="2:9" ht="31.5" x14ac:dyDescent="0.5">
      <c r="B135" s="21"/>
      <c r="C135" s="4" t="s">
        <v>100</v>
      </c>
      <c r="D135" s="4" t="s">
        <v>21</v>
      </c>
      <c r="E135" s="4" t="s">
        <v>21</v>
      </c>
      <c r="G135" s="14">
        <v>1.3888888888888889E-3</v>
      </c>
    </row>
    <row r="136" spans="2:9" s="5" customFormat="1" x14ac:dyDescent="0.5">
      <c r="B136" s="11"/>
      <c r="G136" s="15">
        <f>SUM(G125:G135)</f>
        <v>3.2638888888888877E-2</v>
      </c>
    </row>
    <row r="137" spans="2:9" x14ac:dyDescent="0.5">
      <c r="B137" s="21">
        <v>14</v>
      </c>
      <c r="C137" s="4" t="s">
        <v>112</v>
      </c>
      <c r="D137" s="4" t="s">
        <v>10</v>
      </c>
      <c r="E137" s="2" t="s">
        <v>32</v>
      </c>
      <c r="G137" s="14">
        <v>1.3888888888888889E-3</v>
      </c>
    </row>
    <row r="138" spans="2:9" x14ac:dyDescent="0.5">
      <c r="B138" s="21"/>
      <c r="C138" s="4" t="s">
        <v>112</v>
      </c>
      <c r="D138" s="4" t="s">
        <v>13</v>
      </c>
      <c r="E138" s="4" t="s">
        <v>159</v>
      </c>
      <c r="F138" s="4" t="s">
        <v>113</v>
      </c>
      <c r="G138" s="14">
        <v>3.472222222222222E-3</v>
      </c>
      <c r="I138" s="4" t="s">
        <v>114</v>
      </c>
    </row>
    <row r="139" spans="2:9" x14ac:dyDescent="0.5">
      <c r="B139" s="21"/>
      <c r="C139" s="4" t="s">
        <v>112</v>
      </c>
      <c r="D139" s="4" t="s">
        <v>16</v>
      </c>
      <c r="E139" s="4" t="s">
        <v>207</v>
      </c>
      <c r="G139" s="14">
        <v>1.3888888888888889E-3</v>
      </c>
    </row>
    <row r="140" spans="2:9" ht="31.5" x14ac:dyDescent="0.5">
      <c r="B140" s="21"/>
      <c r="C140" s="4" t="s">
        <v>112</v>
      </c>
      <c r="D140" s="4" t="s">
        <v>218</v>
      </c>
      <c r="E140" s="3" t="s">
        <v>169</v>
      </c>
      <c r="G140" s="14">
        <v>3.472222222222222E-3</v>
      </c>
      <c r="I140" s="3"/>
    </row>
    <row r="141" spans="2:9" ht="31.5" x14ac:dyDescent="0.5">
      <c r="B141" s="21"/>
      <c r="C141" s="4" t="s">
        <v>112</v>
      </c>
      <c r="D141" s="4" t="s">
        <v>194</v>
      </c>
      <c r="E141" s="4" t="s">
        <v>231</v>
      </c>
      <c r="G141" s="14">
        <v>1.3888888888888888E-2</v>
      </c>
    </row>
    <row r="142" spans="2:9" x14ac:dyDescent="0.5">
      <c r="B142" s="21"/>
      <c r="C142" s="4" t="s">
        <v>112</v>
      </c>
      <c r="D142" s="16" t="s">
        <v>16</v>
      </c>
      <c r="E142" s="3" t="s">
        <v>208</v>
      </c>
      <c r="G142" s="14">
        <v>1.3888888888888889E-3</v>
      </c>
      <c r="I142" s="2"/>
    </row>
    <row r="143" spans="2:9" ht="31.5" x14ac:dyDescent="0.5">
      <c r="B143" s="21"/>
      <c r="C143" s="4" t="s">
        <v>112</v>
      </c>
      <c r="D143" s="4" t="s">
        <v>219</v>
      </c>
      <c r="E143" s="3" t="s">
        <v>193</v>
      </c>
      <c r="G143" s="14">
        <v>3.472222222222222E-3</v>
      </c>
      <c r="I143" s="3"/>
    </row>
    <row r="144" spans="2:9" x14ac:dyDescent="0.5">
      <c r="B144" s="21"/>
      <c r="D144" s="4" t="s">
        <v>16</v>
      </c>
      <c r="E144" s="3" t="s">
        <v>209</v>
      </c>
      <c r="G144" s="14">
        <v>1.3888888888888889E-3</v>
      </c>
      <c r="I144" s="3"/>
    </row>
    <row r="145" spans="2:9" x14ac:dyDescent="0.5">
      <c r="B145" s="21"/>
      <c r="C145" s="4" t="s">
        <v>112</v>
      </c>
      <c r="D145" s="4" t="s">
        <v>21</v>
      </c>
      <c r="E145" s="4" t="s">
        <v>21</v>
      </c>
      <c r="G145" s="14">
        <v>1.3888888888888889E-3</v>
      </c>
    </row>
    <row r="146" spans="2:9" s="5" customFormat="1" x14ac:dyDescent="0.5">
      <c r="B146" s="11"/>
      <c r="G146" s="15">
        <f>SUM(G137:G145)</f>
        <v>3.1249999999999993E-2</v>
      </c>
    </row>
    <row r="147" spans="2:9" x14ac:dyDescent="0.5">
      <c r="B147" s="21">
        <v>15</v>
      </c>
      <c r="C147" s="4" t="s">
        <v>115</v>
      </c>
      <c r="D147" s="4" t="s">
        <v>10</v>
      </c>
      <c r="E147" s="2" t="s">
        <v>24</v>
      </c>
      <c r="G147" s="14">
        <v>1.3888888888888889E-3</v>
      </c>
    </row>
    <row r="148" spans="2:9" x14ac:dyDescent="0.5">
      <c r="B148" s="21"/>
      <c r="C148" s="4" t="s">
        <v>115</v>
      </c>
      <c r="D148" s="4" t="s">
        <v>13</v>
      </c>
      <c r="E148" s="4" t="s">
        <v>160</v>
      </c>
      <c r="F148" s="4" t="s">
        <v>116</v>
      </c>
      <c r="G148" s="14">
        <v>3.472222222222222E-3</v>
      </c>
      <c r="I148" s="4" t="s">
        <v>117</v>
      </c>
    </row>
    <row r="149" spans="2:9" x14ac:dyDescent="0.5">
      <c r="B149" s="21"/>
      <c r="C149" s="4" t="s">
        <v>161</v>
      </c>
      <c r="D149" s="4" t="s">
        <v>194</v>
      </c>
      <c r="E149" s="4" t="s">
        <v>210</v>
      </c>
      <c r="G149" s="14">
        <v>1.3888888888888888E-2</v>
      </c>
    </row>
    <row r="150" spans="2:9" x14ac:dyDescent="0.5">
      <c r="B150" s="21"/>
      <c r="C150" s="4" t="s">
        <v>115</v>
      </c>
      <c r="D150" s="4" t="s">
        <v>16</v>
      </c>
      <c r="E150" s="4" t="s">
        <v>211</v>
      </c>
      <c r="G150" s="14">
        <v>1.3888888888888889E-3</v>
      </c>
    </row>
    <row r="151" spans="2:9" x14ac:dyDescent="0.5">
      <c r="B151" s="21"/>
      <c r="C151" s="4" t="s">
        <v>115</v>
      </c>
      <c r="D151" s="4" t="s">
        <v>13</v>
      </c>
      <c r="E151" s="4" t="s">
        <v>118</v>
      </c>
      <c r="G151" s="14">
        <v>3.472222222222222E-3</v>
      </c>
      <c r="I151" s="4" t="s">
        <v>119</v>
      </c>
    </row>
    <row r="152" spans="2:9" x14ac:dyDescent="0.5">
      <c r="B152" s="21"/>
      <c r="C152" s="4" t="s">
        <v>115</v>
      </c>
      <c r="D152" s="4" t="s">
        <v>16</v>
      </c>
      <c r="E152" s="4" t="s">
        <v>212</v>
      </c>
      <c r="G152" s="14">
        <v>1.3888888888888889E-3</v>
      </c>
    </row>
    <row r="153" spans="2:9" x14ac:dyDescent="0.5">
      <c r="B153" s="21"/>
      <c r="C153" s="4" t="s">
        <v>115</v>
      </c>
      <c r="D153" s="4" t="s">
        <v>13</v>
      </c>
      <c r="E153" s="4" t="s">
        <v>120</v>
      </c>
      <c r="G153" s="14">
        <v>3.472222222222222E-3</v>
      </c>
      <c r="I153" s="4" t="s">
        <v>121</v>
      </c>
    </row>
    <row r="154" spans="2:9" x14ac:dyDescent="0.5">
      <c r="B154" s="21"/>
      <c r="C154" s="4" t="s">
        <v>115</v>
      </c>
      <c r="D154" s="4" t="s">
        <v>16</v>
      </c>
      <c r="E154" s="4" t="s">
        <v>213</v>
      </c>
      <c r="G154" s="14">
        <v>1.3888888888888889E-3</v>
      </c>
    </row>
    <row r="155" spans="2:9" x14ac:dyDescent="0.5">
      <c r="B155" s="21"/>
      <c r="C155" s="4" t="s">
        <v>115</v>
      </c>
      <c r="D155" s="4" t="s">
        <v>21</v>
      </c>
      <c r="E155" s="4" t="s">
        <v>22</v>
      </c>
      <c r="G155" s="14">
        <v>1.3888888888888889E-3</v>
      </c>
    </row>
    <row r="156" spans="2:9" s="5" customFormat="1" x14ac:dyDescent="0.5">
      <c r="B156" s="11"/>
      <c r="G156" s="15">
        <f>SUM(G147:G155)</f>
        <v>3.1249999999999993E-2</v>
      </c>
    </row>
    <row r="157" spans="2:9" ht="31.5" x14ac:dyDescent="0.5">
      <c r="B157" s="21">
        <v>16</v>
      </c>
      <c r="C157" s="4" t="s">
        <v>122</v>
      </c>
      <c r="D157" s="4" t="s">
        <v>10</v>
      </c>
      <c r="E157" s="2" t="s">
        <v>123</v>
      </c>
      <c r="G157" s="14">
        <v>6.9444444444444441E-3</v>
      </c>
    </row>
    <row r="158" spans="2:9" x14ac:dyDescent="0.5">
      <c r="B158" s="21"/>
      <c r="C158" s="4" t="s">
        <v>122</v>
      </c>
      <c r="D158" s="4" t="s">
        <v>13</v>
      </c>
      <c r="E158" s="4" t="s">
        <v>124</v>
      </c>
      <c r="F158" s="4" t="s">
        <v>125</v>
      </c>
      <c r="G158" s="14">
        <v>3.472222222222222E-3</v>
      </c>
      <c r="I158" s="4" t="s">
        <v>126</v>
      </c>
    </row>
    <row r="159" spans="2:9" x14ac:dyDescent="0.5">
      <c r="B159" s="21"/>
      <c r="C159" s="4" t="s">
        <v>122</v>
      </c>
      <c r="D159" s="4" t="s">
        <v>49</v>
      </c>
      <c r="E159" s="4" t="s">
        <v>214</v>
      </c>
      <c r="G159" s="14">
        <v>1.3888888888888889E-3</v>
      </c>
    </row>
    <row r="160" spans="2:9" ht="31.5" x14ac:dyDescent="0.5">
      <c r="B160" s="21"/>
      <c r="C160" s="4" t="s">
        <v>122</v>
      </c>
      <c r="D160" s="4" t="s">
        <v>127</v>
      </c>
      <c r="E160" s="3" t="s">
        <v>215</v>
      </c>
      <c r="G160" s="14">
        <v>1.7361111111111112E-2</v>
      </c>
      <c r="I160" s="6" t="s">
        <v>193</v>
      </c>
    </row>
    <row r="161" spans="2:7" x14ac:dyDescent="0.5">
      <c r="B161" s="21"/>
      <c r="C161" s="4" t="s">
        <v>122</v>
      </c>
      <c r="D161" s="4" t="s">
        <v>21</v>
      </c>
      <c r="E161" s="4" t="s">
        <v>128</v>
      </c>
      <c r="G161" s="14">
        <v>3.472222222222222E-3</v>
      </c>
    </row>
    <row r="162" spans="2:7" s="5" customFormat="1" x14ac:dyDescent="0.5">
      <c r="G162" s="12">
        <f>SUM(G157:G161)</f>
        <v>3.2638888888888891E-2</v>
      </c>
    </row>
  </sheetData>
  <mergeCells count="16">
    <mergeCell ref="B157:B161"/>
    <mergeCell ref="B95:B103"/>
    <mergeCell ref="B115:B123"/>
    <mergeCell ref="B125:B135"/>
    <mergeCell ref="B137:B145"/>
    <mergeCell ref="B147:B155"/>
    <mergeCell ref="B105:B113"/>
    <mergeCell ref="B85:B93"/>
    <mergeCell ref="B2:B10"/>
    <mergeCell ref="B12:B20"/>
    <mergeCell ref="B22:B30"/>
    <mergeCell ref="B32:B42"/>
    <mergeCell ref="B44:B52"/>
    <mergeCell ref="B54:B63"/>
    <mergeCell ref="B65:B73"/>
    <mergeCell ref="B75:B83"/>
  </mergeCells>
  <phoneticPr fontId="2" type="noConversion"/>
  <pageMargins left="0.7" right="0.7" top="0.75" bottom="0.75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B5B7-DE7E-4E8E-BA86-3ED6A2E3903B}">
  <dimension ref="A1:B21"/>
  <sheetViews>
    <sheetView workbookViewId="0">
      <selection activeCell="B2" sqref="B2"/>
    </sheetView>
  </sheetViews>
  <sheetFormatPr baseColWidth="10" defaultColWidth="8.8125" defaultRowHeight="15.75" x14ac:dyDescent="0.5"/>
  <cols>
    <col min="2" max="2" width="65.6875" customWidth="1"/>
  </cols>
  <sheetData>
    <row r="1" spans="1:2" x14ac:dyDescent="0.5">
      <c r="B1" s="1" t="s">
        <v>129</v>
      </c>
    </row>
    <row r="2" spans="1:2" x14ac:dyDescent="0.5">
      <c r="A2">
        <v>1</v>
      </c>
      <c r="B2" s="20" t="s">
        <v>11</v>
      </c>
    </row>
    <row r="3" spans="1:2" x14ac:dyDescent="0.5">
      <c r="A3">
        <v>2</v>
      </c>
      <c r="B3" s="20" t="s">
        <v>33</v>
      </c>
    </row>
    <row r="4" spans="1:2" x14ac:dyDescent="0.5">
      <c r="A4">
        <v>3</v>
      </c>
      <c r="B4" s="19" t="s">
        <v>35</v>
      </c>
    </row>
    <row r="5" spans="1:2" x14ac:dyDescent="0.5">
      <c r="A5">
        <v>4</v>
      </c>
      <c r="B5" s="19" t="s">
        <v>130</v>
      </c>
    </row>
    <row r="6" spans="1:2" x14ac:dyDescent="0.5">
      <c r="A6">
        <v>5</v>
      </c>
      <c r="B6" s="19" t="s">
        <v>36</v>
      </c>
    </row>
    <row r="7" spans="1:2" x14ac:dyDescent="0.5">
      <c r="A7">
        <v>6</v>
      </c>
      <c r="B7" t="s">
        <v>131</v>
      </c>
    </row>
    <row r="8" spans="1:2" x14ac:dyDescent="0.5">
      <c r="A8">
        <v>7</v>
      </c>
      <c r="B8" s="20" t="s">
        <v>40</v>
      </c>
    </row>
    <row r="9" spans="1:2" x14ac:dyDescent="0.5">
      <c r="A9">
        <v>8</v>
      </c>
      <c r="B9" s="20" t="s">
        <v>41</v>
      </c>
    </row>
    <row r="10" spans="1:2" x14ac:dyDescent="0.5">
      <c r="A10">
        <v>9</v>
      </c>
      <c r="B10" s="20" t="s">
        <v>55</v>
      </c>
    </row>
    <row r="11" spans="1:2" x14ac:dyDescent="0.5">
      <c r="A11">
        <v>10</v>
      </c>
      <c r="B11" t="s">
        <v>61</v>
      </c>
    </row>
    <row r="12" spans="1:2" x14ac:dyDescent="0.5">
      <c r="A12">
        <v>11</v>
      </c>
      <c r="B12" s="20" t="s">
        <v>74</v>
      </c>
    </row>
    <row r="13" spans="1:2" x14ac:dyDescent="0.5">
      <c r="A13">
        <v>12</v>
      </c>
      <c r="B13" s="20" t="s">
        <v>75</v>
      </c>
    </row>
    <row r="14" spans="1:2" x14ac:dyDescent="0.5">
      <c r="A14">
        <v>13</v>
      </c>
      <c r="B14" t="s">
        <v>77</v>
      </c>
    </row>
    <row r="15" spans="1:2" x14ac:dyDescent="0.5">
      <c r="A15">
        <v>14</v>
      </c>
      <c r="B15" s="20" t="s">
        <v>85</v>
      </c>
    </row>
    <row r="16" spans="1:2" x14ac:dyDescent="0.5">
      <c r="A16">
        <v>15</v>
      </c>
      <c r="B16" s="20" t="s">
        <v>87</v>
      </c>
    </row>
    <row r="17" spans="1:2" x14ac:dyDescent="0.5">
      <c r="A17">
        <v>16</v>
      </c>
      <c r="B17" t="s">
        <v>101</v>
      </c>
    </row>
    <row r="18" spans="1:2" x14ac:dyDescent="0.5">
      <c r="A18">
        <v>17</v>
      </c>
      <c r="B18" s="20" t="s">
        <v>102</v>
      </c>
    </row>
    <row r="19" spans="1:2" x14ac:dyDescent="0.5">
      <c r="A19">
        <v>18</v>
      </c>
      <c r="B19" s="20" t="s">
        <v>104</v>
      </c>
    </row>
    <row r="20" spans="1:2" x14ac:dyDescent="0.5">
      <c r="A20">
        <v>19</v>
      </c>
      <c r="B20" s="20" t="s">
        <v>101</v>
      </c>
    </row>
    <row r="21" spans="1:2" x14ac:dyDescent="0.5">
      <c r="A21">
        <v>20</v>
      </c>
      <c r="B21" s="20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D4E079B19CB094EA90E0BE0307DADCB" ma:contentTypeVersion="15" ma:contentTypeDescription="Ein neues Dokument erstellen." ma:contentTypeScope="" ma:versionID="9f4a1b92268a7902d43d5331b4d17782">
  <xsd:schema xmlns:xsd="http://www.w3.org/2001/XMLSchema" xmlns:xs="http://www.w3.org/2001/XMLSchema" xmlns:p="http://schemas.microsoft.com/office/2006/metadata/properties" xmlns:ns2="c1c6de46-75de-4d9d-9ee3-7ef238385851" xmlns:ns3="c55bb836-8d19-4e06-a750-2c644ffe898a" targetNamespace="http://schemas.microsoft.com/office/2006/metadata/properties" ma:root="true" ma:fieldsID="9274c714f48048b8a50638e1e512f7ce" ns2:_="" ns3:_="">
    <xsd:import namespace="c1c6de46-75de-4d9d-9ee3-7ef238385851"/>
    <xsd:import namespace="c55bb836-8d19-4e06-a750-2c644ffe898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6de46-75de-4d9d-9ee3-7ef23838585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5999e70-566d-40dc-8668-d7e31eac0709}" ma:internalName="TaxCatchAll" ma:showField="CatchAllData" ma:web="c1c6de46-75de-4d9d-9ee3-7ef238385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bb836-8d19-4e06-a750-2c644ffe8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60175114-af00-453b-9126-1ccf71a01f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5bb836-8d19-4e06-a750-2c644ffe898a">
      <Terms xmlns="http://schemas.microsoft.com/office/infopath/2007/PartnerControls"/>
    </lcf76f155ced4ddcb4097134ff3c332f>
    <TaxCatchAll xmlns="c1c6de46-75de-4d9d-9ee3-7ef238385851" xsi:nil="true"/>
  </documentManagement>
</p:properties>
</file>

<file path=customXml/itemProps1.xml><?xml version="1.0" encoding="utf-8"?>
<ds:datastoreItem xmlns:ds="http://schemas.openxmlformats.org/officeDocument/2006/customXml" ds:itemID="{C77BC19E-5780-4815-8438-569200957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c6de46-75de-4d9d-9ee3-7ef238385851"/>
    <ds:schemaRef ds:uri="c55bb836-8d19-4e06-a750-2c644ffe89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EA84D9-F23A-46C8-ABA6-816F325A08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E039A2-3B95-40FA-B772-DC7A6ED7AFB5}">
  <ds:schemaRefs>
    <ds:schemaRef ds:uri="http://purl.org/dc/terms/"/>
    <ds:schemaRef ds:uri="http://purl.org/dc/dcmitype/"/>
    <ds:schemaRef ds:uri="http://purl.org/dc/elements/1.1/"/>
    <ds:schemaRef ds:uri="http://www.w3.org/XML/1998/namespace"/>
    <ds:schemaRef ds:uri="c55bb836-8d19-4e06-a750-2c644ffe898a"/>
    <ds:schemaRef ds:uri="http://schemas.microsoft.com/office/2006/documentManagement/types"/>
    <ds:schemaRef ds:uri="c1c6de46-75de-4d9d-9ee3-7ef238385851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Lex Solar Exercises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Fear</dc:creator>
  <cp:keywords/>
  <dc:description/>
  <cp:lastModifiedBy>artjom naninjan</cp:lastModifiedBy>
  <cp:revision/>
  <dcterms:created xsi:type="dcterms:W3CDTF">2024-11-08T17:02:57Z</dcterms:created>
  <dcterms:modified xsi:type="dcterms:W3CDTF">2025-01-02T12:37:35Z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0x0101009D4E079B19CB094EA90E0BE0307DADCB</vt:lpwstr>
  </property>
  <property fmtid="{D5CDD505-2E9C-101B-9397-08002B2CF9AE}" pid="3" name="MediaServiceImageTags">
    <vt:lpwstr/>
  </property>
</Properties>
</file>